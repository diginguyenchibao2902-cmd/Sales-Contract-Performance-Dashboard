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F:\Project_02\"/>
    </mc:Choice>
  </mc:AlternateContent>
  <xr:revisionPtr revIDLastSave="0" documentId="13_ncr:1_{EE7339B0-7A40-419A-A059-B8F85721A6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ntract data" sheetId="11" r:id="rId1"/>
    <sheet name="Appendix data" sheetId="12" r:id="rId2"/>
    <sheet name="Customer" sheetId="14" r:id="rId3"/>
    <sheet name="shipping inf" sheetId="18" r:id="rId4"/>
    <sheet name="Product inf" sheetId="15" r:id="rId5"/>
    <sheet name="Saleman inf" sheetId="13" r:id="rId6"/>
    <sheet name="Saleman_KPI" sheetId="19" state="hidden" r:id="rId7"/>
  </sheets>
  <definedNames>
    <definedName name="_xlnm._FilterDatabase" localSheetId="1" hidden="1">'Appendix data'!$A$1:$G$244</definedName>
    <definedName name="_xlnm._FilterDatabase" localSheetId="0" hidden="1">'Contract data'!$A$1:$AA$441</definedName>
    <definedName name="_xlnm._FilterDatabase" localSheetId="2" hidden="1">Customer!$A$1:$C$399</definedName>
    <definedName name="_xlnm._FilterDatabase" localSheetId="4" hidden="1">'Product inf'!$A$1:$C$16</definedName>
    <definedName name="_xlnm._FilterDatabase" localSheetId="3" hidden="1">'shipping inf'!$A$1:$E$64</definedName>
    <definedName name="kythuat">#REF!</definedName>
    <definedName name="nhaplieu">#REF!</definedName>
    <definedName name="nhaplieuPLHD">#REF!</definedName>
    <definedName name="NoidungPLHD">#REF!</definedName>
    <definedName name="PLHD">#REF!</definedName>
    <definedName name="Thongsothang">#REF!</definedName>
    <definedName name="ThongtinHD">#REF!</definedName>
    <definedName name="ThongtinPLHD">#REF!</definedName>
  </definedNames>
  <calcPr calcId="191029"/>
  <customWorkbookViews>
    <customWorkbookView name="Filter của Bảo" guid="{7D7F43F9-6664-4470-BAAF-A306C0EF0BE2}" maximized="1" windowWidth="0" windowHeight="0" activeSheetId="0"/>
    <customWorkbookView name="Hiền Trang" guid="{8C2BE473-C893-4531-9F41-5BD79EBE5B76}" maximized="1" windowWidth="0" windowHeight="0" activeSheetId="0"/>
    <customWorkbookView name="Tân" guid="{55C8965D-3B1A-4944-B062-D6973F353561}" maximized="1" windowWidth="0" windowHeight="0" activeSheetId="0"/>
    <customWorkbookView name="Tan Năm ký HĐ 2025" guid="{E384ECEC-C315-4A65-AD85-664D39C9537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1" l="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D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2" i="11"/>
</calcChain>
</file>

<file path=xl/sharedStrings.xml><?xml version="1.0" encoding="utf-8"?>
<sst xmlns="http://schemas.openxmlformats.org/spreadsheetml/2006/main" count="9675" uniqueCount="2630">
  <si>
    <t>Miền Nam</t>
  </si>
  <si>
    <t>DƯƠNG MINH LÊ QUỲNH</t>
  </si>
  <si>
    <t>Ban Giám Đốc</t>
  </si>
  <si>
    <t>Bê tông</t>
  </si>
  <si>
    <t>Tải hàng</t>
  </si>
  <si>
    <t>Miền Trung</t>
  </si>
  <si>
    <t>ĐỖ HỒNG VĂN</t>
  </si>
  <si>
    <t>B2B</t>
  </si>
  <si>
    <t>Kết cấu thép</t>
  </si>
  <si>
    <t>Tải khách</t>
  </si>
  <si>
    <t>Miền Bắc</t>
  </si>
  <si>
    <t>NGUYỄN BẢO HUY</t>
  </si>
  <si>
    <t>MKT Chương trình sự kiện</t>
  </si>
  <si>
    <t>Tải khách + hàng</t>
  </si>
  <si>
    <t>NGUYỄN DUY PHƯỚC</t>
  </si>
  <si>
    <t>MKT Cơ bản</t>
  </si>
  <si>
    <t>NGUYỄN THANH TÙNG</t>
  </si>
  <si>
    <t>MKT Đối tác</t>
  </si>
  <si>
    <t>NGUYỄN THẾ ĐỨC DUY</t>
  </si>
  <si>
    <t>Sales MQH cá nhân</t>
  </si>
  <si>
    <t>NGUYỄN VĂN SƠN</t>
  </si>
  <si>
    <t>TRẦN ĐỨC THUẬN</t>
  </si>
  <si>
    <t>TRẦN MINH TIẾN</t>
  </si>
  <si>
    <t>TRƯƠNG TRỌNG THỊNH</t>
  </si>
  <si>
    <t>UNG TRIỆU THẮNG</t>
  </si>
  <si>
    <t>VÕ KHÁNH DUY</t>
  </si>
  <si>
    <t>VÒNG NGUYỄN NGỌC OANH</t>
  </si>
  <si>
    <t>TRẦN MINH TIẾN B2B</t>
  </si>
  <si>
    <t>PHẠM TẤN ĐỨC</t>
  </si>
  <si>
    <t>NGUYỄN HOÀNG MINH THÁI</t>
  </si>
  <si>
    <t>NGUYỄN ANH VŨ</t>
  </si>
  <si>
    <t>LÂM TÂM HÙNG</t>
  </si>
  <si>
    <t>DƯƠNG QUỐC KIÊN</t>
  </si>
  <si>
    <t>TRẦN THANH LIÊM</t>
  </si>
  <si>
    <t>TRẦN THẾ TRUNG</t>
  </si>
  <si>
    <t>Bà Rịa – Vũng Tàu</t>
  </si>
  <si>
    <t>TP Hồ Chí Minh</t>
  </si>
  <si>
    <t>Sanyo Minh Long</t>
  </si>
  <si>
    <t>Kiên Giang</t>
  </si>
  <si>
    <t>An Giang</t>
  </si>
  <si>
    <t>Đà Nẵng</t>
  </si>
  <si>
    <t>Quảng Nam</t>
  </si>
  <si>
    <t>Bình Dương</t>
  </si>
  <si>
    <t>Bình Thuận</t>
  </si>
  <si>
    <t>Lâm Đồng</t>
  </si>
  <si>
    <t>Cần Thơ</t>
  </si>
  <si>
    <t>Long An</t>
  </si>
  <si>
    <t>Tây Ninh</t>
  </si>
  <si>
    <t>Đồng Nai</t>
  </si>
  <si>
    <t>Hải Phòng</t>
  </si>
  <si>
    <t>Hà Nội</t>
  </si>
  <si>
    <t>Tiền Giang</t>
  </si>
  <si>
    <t>Đồng Tháp</t>
  </si>
  <si>
    <t>Ninh Thuận</t>
  </si>
  <si>
    <t>Khánh Hòa</t>
  </si>
  <si>
    <t>Đắk Lắk</t>
  </si>
  <si>
    <t>Vĩnh Phúc</t>
  </si>
  <si>
    <t>Phú Thọ</t>
  </si>
  <si>
    <t>Điện Biên</t>
  </si>
  <si>
    <t>Hưng Yên</t>
  </si>
  <si>
    <t>Gia Lai</t>
  </si>
  <si>
    <t>Hậu Giang</t>
  </si>
  <si>
    <t>Vĩnh Long</t>
  </si>
  <si>
    <t>Bình Định</t>
  </si>
  <si>
    <t>Kon Tum</t>
  </si>
  <si>
    <t>Quảng Ngãi</t>
  </si>
  <si>
    <t>Bến Tre</t>
  </si>
  <si>
    <t>Sanotec - Nhật Bản</t>
  </si>
  <si>
    <t>Sanotec DREAM control</t>
  </si>
  <si>
    <t>1101/HĐ-2024</t>
  </si>
  <si>
    <t>Ziehl-Abegg - Đức</t>
  </si>
  <si>
    <t>601/HĐ-2024</t>
  </si>
  <si>
    <t>704/HĐ-2024</t>
  </si>
  <si>
    <t>801/HĐ-2024</t>
  </si>
  <si>
    <t>101/HĐ-2024</t>
  </si>
  <si>
    <t>105/HĐ-2024</t>
  </si>
  <si>
    <t>1502/HĐ-2024</t>
  </si>
  <si>
    <t>1503/HĐ-2024</t>
  </si>
  <si>
    <t>102/HĐ-2024</t>
  </si>
  <si>
    <t>702/HĐ-2024</t>
  </si>
  <si>
    <t>602/HĐ-2024</t>
  </si>
  <si>
    <t>106/HĐ-2024</t>
  </si>
  <si>
    <t>Sanotec Eco - Nhật Bản</t>
  </si>
  <si>
    <t>103/HĐ-2024</t>
  </si>
  <si>
    <t>802/HĐ-2024</t>
  </si>
  <si>
    <t>107/HĐ-2024</t>
  </si>
  <si>
    <t>603/HĐ-2024</t>
  </si>
  <si>
    <t>108/HĐ-2024</t>
  </si>
  <si>
    <t>505/HĐ-2024</t>
  </si>
  <si>
    <t>803/HĐ-2024</t>
  </si>
  <si>
    <t>503/HĐ-2024</t>
  </si>
  <si>
    <t>1102/HĐ-2024</t>
  </si>
  <si>
    <t>Quảng Bình</t>
  </si>
  <si>
    <t>Quảng Trị</t>
  </si>
  <si>
    <t>901/HĐ-2024</t>
  </si>
  <si>
    <t>1103/HĐ-2024</t>
  </si>
  <si>
    <t>203/HĐ-2024</t>
  </si>
  <si>
    <t>506/HĐ-2024</t>
  </si>
  <si>
    <t>110/HĐ-2024</t>
  </si>
  <si>
    <t>301/HĐ-2024</t>
  </si>
  <si>
    <t>504/HĐ-2024</t>
  </si>
  <si>
    <t>109/HĐ-2024</t>
  </si>
  <si>
    <t>Fuji Korea - Hàn Quốc</t>
  </si>
  <si>
    <t>104/HĐ-2024</t>
  </si>
  <si>
    <t>501/HĐ-2024</t>
  </si>
  <si>
    <t>Hòa Bình</t>
  </si>
  <si>
    <t>303/HĐ-2024</t>
  </si>
  <si>
    <t>204/HĐ-2024</t>
  </si>
  <si>
    <t>805/HĐ-2024</t>
  </si>
  <si>
    <t>508/HĐ-2024</t>
  </si>
  <si>
    <t>806/HĐ-2024</t>
  </si>
  <si>
    <t>502/HĐ-2024</t>
  </si>
  <si>
    <t>807/HĐ-2024</t>
  </si>
  <si>
    <t>605/HĐ-2024</t>
  </si>
  <si>
    <t>205/HĐ-2024</t>
  </si>
  <si>
    <t>1505/HĐ-2024</t>
  </si>
  <si>
    <t>507/HĐ-2024</t>
  </si>
  <si>
    <t>112/HĐ-2024</t>
  </si>
  <si>
    <t>115/HĐ-2024</t>
  </si>
  <si>
    <t>809/HĐ-2024</t>
  </si>
  <si>
    <t>810/HĐ-2024</t>
  </si>
  <si>
    <t>606/HĐ-2024</t>
  </si>
  <si>
    <t>902/HĐ-2024</t>
  </si>
  <si>
    <t>1105/HĐ-2024</t>
  </si>
  <si>
    <t>509/HĐ-2024</t>
  </si>
  <si>
    <t>206/HĐ-2024</t>
  </si>
  <si>
    <t>903/HĐ-2024</t>
  </si>
  <si>
    <t>116/HĐ-2024</t>
  </si>
  <si>
    <t>114/HĐ-2024</t>
  </si>
  <si>
    <t>1106/HĐ-2024</t>
  </si>
  <si>
    <t>607/HĐ-2024</t>
  </si>
  <si>
    <t>608/HĐ-2024</t>
  </si>
  <si>
    <t>Sanotec - Trung Quốc</t>
  </si>
  <si>
    <t>201.ĐN/HĐ-2024</t>
  </si>
  <si>
    <t>905/HĐ-2024</t>
  </si>
  <si>
    <t>207/HĐ-2024</t>
  </si>
  <si>
    <t>1504/HĐ-2024</t>
  </si>
  <si>
    <t>208/HĐ-2024</t>
  </si>
  <si>
    <t>609/HĐ-2024</t>
  </si>
  <si>
    <t>117/HĐ-2024</t>
  </si>
  <si>
    <t>Sanotec - Nidec</t>
  </si>
  <si>
    <t>1501/HĐ-2024</t>
  </si>
  <si>
    <t>904/HĐ-2024</t>
  </si>
  <si>
    <t>122/HĐ-2024</t>
  </si>
  <si>
    <t>123/HĐ-2024</t>
  </si>
  <si>
    <t>1107/HĐ-2024</t>
  </si>
  <si>
    <t>306/HĐ-2024</t>
  </si>
  <si>
    <t>1108/HĐ-2024</t>
  </si>
  <si>
    <t>610/HĐ-2024</t>
  </si>
  <si>
    <t>811/HĐ-2024</t>
  </si>
  <si>
    <t>121/HĐ-2024</t>
  </si>
  <si>
    <t>511/HĐ-2024</t>
  </si>
  <si>
    <t>906/HĐ-2024</t>
  </si>
  <si>
    <t>1204/HĐ-2024</t>
  </si>
  <si>
    <t>120/HĐ-2024</t>
  </si>
  <si>
    <t>209/HĐ-2024</t>
  </si>
  <si>
    <t>515/HĐ-2024</t>
  </si>
  <si>
    <t>1109/HĐ-2024</t>
  </si>
  <si>
    <t>1001/HĐ-2024</t>
  </si>
  <si>
    <t>1506/HĐ-2024</t>
  </si>
  <si>
    <t>1202/HĐ-2024</t>
  </si>
  <si>
    <t>1203/HĐ-2024</t>
  </si>
  <si>
    <t>1507/HĐ-2024</t>
  </si>
  <si>
    <t>1110/HĐ-2024</t>
  </si>
  <si>
    <t>124/HĐ-2024</t>
  </si>
  <si>
    <t>125/HĐ-2024</t>
  </si>
  <si>
    <t>907/HĐ-2024</t>
  </si>
  <si>
    <t>126/HĐ-2024</t>
  </si>
  <si>
    <t>401/HĐ-2024</t>
  </si>
  <si>
    <t>1201/HĐ-2024</t>
  </si>
  <si>
    <t>1111/HĐ-2024</t>
  </si>
  <si>
    <t>1104/HĐ-2024</t>
  </si>
  <si>
    <t>119/HĐ-2024</t>
  </si>
  <si>
    <t>512/HĐ-2024</t>
  </si>
  <si>
    <t>210/HĐ-2024</t>
  </si>
  <si>
    <t>812/HĐ-2024</t>
  </si>
  <si>
    <t>129/HĐ-2024</t>
  </si>
  <si>
    <t>513/HĐ-2024</t>
  </si>
  <si>
    <t>908/HĐ-2024</t>
  </si>
  <si>
    <t>302/HĐ-2024</t>
  </si>
  <si>
    <t>211/HĐ-2024</t>
  </si>
  <si>
    <t>1112/HĐ-2024</t>
  </si>
  <si>
    <t>516/HĐ-2024</t>
  </si>
  <si>
    <t>128/HĐ-2024</t>
  </si>
  <si>
    <t>202.ĐN/HĐ-2024</t>
  </si>
  <si>
    <t>612/HĐ-2024</t>
  </si>
  <si>
    <t>127/HĐ-2024</t>
  </si>
  <si>
    <t>1206/HĐ-2024</t>
  </si>
  <si>
    <t>131/HĐ-2024</t>
  </si>
  <si>
    <t>1205/HĐ-2024</t>
  </si>
  <si>
    <t>814/HĐ-2024</t>
  </si>
  <si>
    <t>1508/HĐ-2024</t>
  </si>
  <si>
    <t>909/HĐ-2024</t>
  </si>
  <si>
    <t>518/HĐ-2024</t>
  </si>
  <si>
    <t>614/HĐ-2024</t>
  </si>
  <si>
    <t>611/HĐ-2024</t>
  </si>
  <si>
    <t>615/HĐ-2024</t>
  </si>
  <si>
    <t>307/HĐ-2024</t>
  </si>
  <si>
    <t>519/HĐ-2024</t>
  </si>
  <si>
    <t>1601/HĐ-2024</t>
  </si>
  <si>
    <t>sanyo Minh Long</t>
  </si>
  <si>
    <t>133/HĐ-2024</t>
  </si>
  <si>
    <t>815/HĐ-2024</t>
  </si>
  <si>
    <t>1207/HĐ-2024</t>
  </si>
  <si>
    <t>613/HĐ-2024</t>
  </si>
  <si>
    <t>213/HĐ-2024</t>
  </si>
  <si>
    <t>134/HĐ-2024</t>
  </si>
  <si>
    <t>1115/HĐ-2024</t>
  </si>
  <si>
    <t>1511/HĐ-2024</t>
  </si>
  <si>
    <t>1114/HĐ-2024</t>
  </si>
  <si>
    <t>910/HĐ-2024</t>
  </si>
  <si>
    <t>616/HĐ-2024</t>
  </si>
  <si>
    <t>911/HĐ-2024</t>
  </si>
  <si>
    <t>405/HĐ-2024</t>
  </si>
  <si>
    <t>1116/HĐ-2024</t>
  </si>
  <si>
    <t>1509/HĐ-2024</t>
  </si>
  <si>
    <t>402/HĐ-2024</t>
  </si>
  <si>
    <t>135/HĐ-2024</t>
  </si>
  <si>
    <t>816/HĐ-2024</t>
  </si>
  <si>
    <t>517/HĐ-2024</t>
  </si>
  <si>
    <t>214/HĐ-2024</t>
  </si>
  <si>
    <t>136/HĐ-2024</t>
  </si>
  <si>
    <t>817/HĐ-2024</t>
  </si>
  <si>
    <t>912/HĐ-2024</t>
  </si>
  <si>
    <t>1117/HĐ-2024</t>
  </si>
  <si>
    <t>913/HĐ-2024</t>
  </si>
  <si>
    <t>520/HĐ-2024</t>
  </si>
  <si>
    <t>215/HĐ-2024</t>
  </si>
  <si>
    <t>138/HĐ-2024</t>
  </si>
  <si>
    <t>Sanotec HP - Trung Quốc</t>
  </si>
  <si>
    <t>521/HĐ-2024</t>
  </si>
  <si>
    <t>216/HĐ-2024</t>
  </si>
  <si>
    <t>217/HĐ-2024</t>
  </si>
  <si>
    <t>618/HĐ-2024</t>
  </si>
  <si>
    <t>819/HĐ-2024</t>
  </si>
  <si>
    <t>132/HĐ-2024</t>
  </si>
  <si>
    <t>309/HĐ-2024</t>
  </si>
  <si>
    <t>305/HĐ-2024</t>
  </si>
  <si>
    <t>139/HĐ-2024</t>
  </si>
  <si>
    <t>140/HĐ-2024</t>
  </si>
  <si>
    <t>212/HĐ-2024</t>
  </si>
  <si>
    <t>310/HĐ-2024</t>
  </si>
  <si>
    <t>141/HĐ-2024</t>
  </si>
  <si>
    <t>821/HĐ-2024</t>
  </si>
  <si>
    <t>822/HĐ-2024</t>
  </si>
  <si>
    <t>901/HĐ-2025</t>
  </si>
  <si>
    <t>1201/HĐ-2025</t>
  </si>
  <si>
    <t>101/HĐ-2025</t>
  </si>
  <si>
    <t>902/HĐ-2025</t>
  </si>
  <si>
    <t>301/HĐ-2025</t>
  </si>
  <si>
    <t>603/HĐ-2025</t>
  </si>
  <si>
    <t>601/HĐ-2025</t>
  </si>
  <si>
    <t>Belt - Nhật Bản</t>
  </si>
  <si>
    <t>1502/HĐ-2025</t>
  </si>
  <si>
    <t>Sanotec Eco - Trung Quốc</t>
  </si>
  <si>
    <t>Sanotec Eco control</t>
  </si>
  <si>
    <t>302/HĐ-2025</t>
  </si>
  <si>
    <t>802/HĐ-2025</t>
  </si>
  <si>
    <t>202/HĐ-2025</t>
  </si>
  <si>
    <t>201/HĐ-2025</t>
  </si>
  <si>
    <t>801/HĐ-2025</t>
  </si>
  <si>
    <t>602/HĐ-2025</t>
  </si>
  <si>
    <t>803/HĐ-2025</t>
  </si>
  <si>
    <t>1101/HĐ-2025</t>
  </si>
  <si>
    <t>605/HĐ-2025</t>
  </si>
  <si>
    <t>107/HĐ-2025</t>
  </si>
  <si>
    <t>104/HĐ-2025</t>
  </si>
  <si>
    <t>Sanotec CEN control</t>
  </si>
  <si>
    <t>1501/HĐ-2025</t>
  </si>
  <si>
    <t>1601/HĐ-2025</t>
  </si>
  <si>
    <t>102/HĐ-2025</t>
  </si>
  <si>
    <t>1504/HĐ-2025</t>
  </si>
  <si>
    <t>1505/HĐ-2025</t>
  </si>
  <si>
    <t>604/HĐ-2025</t>
  </si>
  <si>
    <t>203/HĐ-2025</t>
  </si>
  <si>
    <t/>
  </si>
  <si>
    <t>106/HĐ-2025</t>
  </si>
  <si>
    <t>111/HĐ-2025</t>
  </si>
  <si>
    <t>109/HĐ-2025</t>
  </si>
  <si>
    <t>Sanotec Thuỷ lực control</t>
  </si>
  <si>
    <t>501/HĐ-2025</t>
  </si>
  <si>
    <t>204/HĐ-2025</t>
  </si>
  <si>
    <t>903/HĐ-2025</t>
  </si>
  <si>
    <t>804/HĐ-2025</t>
  </si>
  <si>
    <t>1103/HĐ-2025</t>
  </si>
  <si>
    <t>112/HĐ-2025</t>
  </si>
  <si>
    <t>1205/HĐ-2025</t>
  </si>
  <si>
    <t>115/HĐ-2025</t>
  </si>
  <si>
    <t>905/HĐ-2025</t>
  </si>
  <si>
    <t>116/HĐ-2025</t>
  </si>
  <si>
    <t>904/HĐ-2025</t>
  </si>
  <si>
    <t>110/HĐ-2025</t>
  </si>
  <si>
    <t>1508/HĐ-2025</t>
  </si>
  <si>
    <t>117/HĐ-2025</t>
  </si>
  <si>
    <t>1206/HĐ-2025</t>
  </si>
  <si>
    <t>114/HĐ-2025</t>
  </si>
  <si>
    <t>1506/HĐ-2025</t>
  </si>
  <si>
    <t>119/HĐ-2025</t>
  </si>
  <si>
    <t>1510/HĐ-2025</t>
  </si>
  <si>
    <t>105/HĐ-2025</t>
  </si>
  <si>
    <t>1105/HĐ-2025</t>
  </si>
  <si>
    <t>607/HĐ-2025</t>
  </si>
  <si>
    <t>1207/HĐ-2025</t>
  </si>
  <si>
    <t>610/HĐ-2025</t>
  </si>
  <si>
    <t>121/HĐ-2025</t>
  </si>
  <si>
    <t>Huế (Thừa Thiên Huế)</t>
  </si>
  <si>
    <t>611/HĐ-2025</t>
  </si>
  <si>
    <t>122/HĐ-2025</t>
  </si>
  <si>
    <t>108/HĐ-2025</t>
  </si>
  <si>
    <t>206/HĐ-2025</t>
  </si>
  <si>
    <t>503/HĐ-2025</t>
  </si>
  <si>
    <t>118/HĐ-2025</t>
  </si>
  <si>
    <t>1208/HĐ-2025</t>
  </si>
  <si>
    <t>303/HĐ-2025</t>
  </si>
  <si>
    <t>609/HĐ-2025</t>
  </si>
  <si>
    <t>209/HĐ-2025</t>
  </si>
  <si>
    <t>124/HĐ-2025</t>
  </si>
  <si>
    <t>1503/HĐ-2025</t>
  </si>
  <si>
    <t>1603/HĐ-2025</t>
  </si>
  <si>
    <t>207/HĐ-2025</t>
  </si>
  <si>
    <t>1901/HĐ-2025</t>
  </si>
  <si>
    <t>125/HĐ-2025</t>
  </si>
  <si>
    <t>907/HĐ-2025</t>
  </si>
  <si>
    <t>127/HĐ-2025</t>
  </si>
  <si>
    <t>208/HĐ-2025</t>
  </si>
  <si>
    <t>205/HĐ-2025</t>
  </si>
  <si>
    <t>906/HĐ-2025</t>
  </si>
  <si>
    <t>614/HĐ-2025</t>
  </si>
  <si>
    <t>1209/HĐ-2025</t>
  </si>
  <si>
    <t>701/HĐ-2025</t>
  </si>
  <si>
    <t>806/HĐ-2025</t>
  </si>
  <si>
    <t>908/HĐ-2025</t>
  </si>
  <si>
    <t>1902/HĐ-2025</t>
  </si>
  <si>
    <t>909/HĐ-2025</t>
  </si>
  <si>
    <t>616/HĐ-2025</t>
  </si>
  <si>
    <t>1604/HĐ-2025</t>
  </si>
  <si>
    <t>123/HĐ-2025</t>
  </si>
  <si>
    <t>1507/HĐ-2025</t>
  </si>
  <si>
    <t>613/HĐ-2025</t>
  </si>
  <si>
    <t>807/HĐ-2025</t>
  </si>
  <si>
    <t>1605/HĐ-2025</t>
  </si>
  <si>
    <t>Belt - Trung Quốc</t>
  </si>
  <si>
    <t>910/HĐ-2025</t>
  </si>
  <si>
    <t>305/HĐ-2025</t>
  </si>
  <si>
    <t>128/HĐ-2025</t>
  </si>
  <si>
    <t>1513/HĐ-2025</t>
  </si>
  <si>
    <t>210/HĐ-2025</t>
  </si>
  <si>
    <t>306/HĐ-2025</t>
  </si>
  <si>
    <t>131/HĐ-2025</t>
  </si>
  <si>
    <t>702/HĐ-2025</t>
  </si>
  <si>
    <t>130/HĐ-2025</t>
  </si>
  <si>
    <t>211/HĐ-2025</t>
  </si>
  <si>
    <t>1511/HĐ-2025</t>
  </si>
  <si>
    <t>617/HĐ-2025</t>
  </si>
  <si>
    <t>132/HĐ-2025</t>
  </si>
  <si>
    <t>1516/HĐ-2025</t>
  </si>
  <si>
    <t>1602/HĐ-2025</t>
  </si>
  <si>
    <t>Mitsubishi</t>
  </si>
  <si>
    <t>Motor Mitsubishi - Nhật Bản</t>
  </si>
  <si>
    <t>Mitsubishi VVVF Fuji control</t>
  </si>
  <si>
    <t>135/HĐ-2025</t>
  </si>
  <si>
    <t>1606/HĐ-2025</t>
  </si>
  <si>
    <t>129/HĐ-2025</t>
  </si>
  <si>
    <t>911/HĐ-2025</t>
  </si>
  <si>
    <t>505/HĐ-2025</t>
  </si>
  <si>
    <t>1210/HĐ-2025</t>
  </si>
  <si>
    <t>615/HĐ-2025</t>
  </si>
  <si>
    <t>137/HĐ-2025</t>
  </si>
  <si>
    <t>134/HĐ-2025</t>
  </si>
  <si>
    <t>308/HĐ-2025</t>
  </si>
  <si>
    <t>703/HĐ-2025</t>
  </si>
  <si>
    <t>136/HĐ-2025</t>
  </si>
  <si>
    <t>808/HĐ-2025</t>
  </si>
  <si>
    <t>138/HĐ-2025</t>
  </si>
  <si>
    <t>1517/HĐ-2025</t>
  </si>
  <si>
    <t>140/HĐ-2025</t>
  </si>
  <si>
    <t>309/HĐ-2025</t>
  </si>
  <si>
    <t>506/HĐ-2025</t>
  </si>
  <si>
    <t>141/HĐ-2025</t>
  </si>
  <si>
    <t>912/HĐ-2025</t>
  </si>
  <si>
    <t>307/HĐ-2025</t>
  </si>
  <si>
    <t>913/HĐ-2025</t>
  </si>
  <si>
    <t>508/HĐ-2025</t>
  </si>
  <si>
    <t>810/HĐ-2025</t>
  </si>
  <si>
    <t>310/HĐ-2025</t>
  </si>
  <si>
    <t>507/HĐ-2025</t>
  </si>
  <si>
    <t>143/HĐ-2025</t>
  </si>
  <si>
    <t>1203/HĐ-2025</t>
  </si>
  <si>
    <t>1903/HĐ-2025</t>
  </si>
  <si>
    <t>145/HĐ-2025</t>
  </si>
  <si>
    <t>142/HĐ-2025</t>
  </si>
  <si>
    <t>144/HĐ-2025</t>
  </si>
  <si>
    <t>213/HĐ-2025</t>
  </si>
  <si>
    <t>809/HĐ-2025</t>
  </si>
  <si>
    <t>705/HĐ-2025</t>
  </si>
  <si>
    <t>618/HĐ-2025</t>
  </si>
  <si>
    <t>620/HĐ-2025</t>
  </si>
  <si>
    <t>1904/HĐ-2025</t>
  </si>
  <si>
    <t>914/HĐ-2025</t>
  </si>
  <si>
    <t>311/HĐ-2025</t>
  </si>
  <si>
    <t>1905/HĐ-2025</t>
  </si>
  <si>
    <t>619/HĐ-2025</t>
  </si>
  <si>
    <t>811/HĐ-2025</t>
  </si>
  <si>
    <t>812/HĐ-2025</t>
  </si>
  <si>
    <t>1216/HĐ-2025</t>
  </si>
  <si>
    <t>148/HĐ-2025</t>
  </si>
  <si>
    <t>Sanotec Neo - Việt Nam</t>
  </si>
  <si>
    <t>Sanotec Neo control</t>
  </si>
  <si>
    <t>1211/HĐ-2025</t>
  </si>
  <si>
    <t>813/HĐ-2025</t>
  </si>
  <si>
    <t>1214/HĐ-2025</t>
  </si>
  <si>
    <t>149/HĐ-2025</t>
  </si>
  <si>
    <t>814/HĐ-2025</t>
  </si>
  <si>
    <t>146/HĐ-2025</t>
  </si>
  <si>
    <t>622/HĐ-2025</t>
  </si>
  <si>
    <t>621/HĐ-2025</t>
  </si>
  <si>
    <t>1801/HĐ-2025</t>
  </si>
  <si>
    <t>Schinldler</t>
  </si>
  <si>
    <t>Schindler - Trung Quốc</t>
  </si>
  <si>
    <t>Schindler Microprocessor control</t>
  </si>
  <si>
    <t>402/HĐ-2025</t>
  </si>
  <si>
    <t>1217/HĐ-2025</t>
  </si>
  <si>
    <t>916/HĐ-2025</t>
  </si>
  <si>
    <t>612/HĐ-2025</t>
  </si>
  <si>
    <t>1607/HĐ-2025</t>
  </si>
  <si>
    <t>151/HĐ-2025</t>
  </si>
  <si>
    <t>401/HĐ-2025</t>
  </si>
  <si>
    <t>147/HĐ-2025</t>
  </si>
  <si>
    <t>915/HĐ-2025</t>
  </si>
  <si>
    <t>1802/HĐ-2025</t>
  </si>
  <si>
    <t>152/HĐ-2025</t>
  </si>
  <si>
    <t>918/HĐ-2025</t>
  </si>
  <si>
    <t>312/HĐ-2025</t>
  </si>
  <si>
    <t>1215/HĐ-2025</t>
  </si>
  <si>
    <t>150/HĐ-2025</t>
  </si>
  <si>
    <t>1803/HĐ-2025</t>
  </si>
  <si>
    <t>1212/HĐ-2025</t>
  </si>
  <si>
    <t>315/HĐ-2025</t>
  </si>
  <si>
    <t>316/HĐ-2025</t>
  </si>
  <si>
    <t>314/HĐ-2025</t>
  </si>
  <si>
    <t>502a/HĐ-2025</t>
  </si>
  <si>
    <t>155/HĐ-2025</t>
  </si>
  <si>
    <t>318/HĐ-2025</t>
  </si>
  <si>
    <t>After tomorrow control</t>
  </si>
  <si>
    <t>509/HĐ-2025</t>
  </si>
  <si>
    <t>214/HĐ-2025</t>
  </si>
  <si>
    <t>708/HĐ-2025</t>
  </si>
  <si>
    <t>1906/HĐ-2025</t>
  </si>
  <si>
    <t>815/HĐ-2025</t>
  </si>
  <si>
    <t>816/HĐ-2025</t>
  </si>
  <si>
    <t>120/HĐ-2025</t>
  </si>
  <si>
    <t>162/HĐ-2025</t>
  </si>
  <si>
    <t>157/HĐ-2025</t>
  </si>
  <si>
    <t>158/HĐ-2025</t>
  </si>
  <si>
    <t>160/HĐ-2025</t>
  </si>
  <si>
    <t>159/HĐ-2025</t>
  </si>
  <si>
    <t>510/HĐ-2025</t>
  </si>
  <si>
    <t>201.ĐN/HĐ-2025</t>
  </si>
  <si>
    <t>202.ĐN/HĐ-2025</t>
  </si>
  <si>
    <t>203.ĐN/HĐ-2025</t>
  </si>
  <si>
    <t>317/HĐ-2025</t>
  </si>
  <si>
    <t>1219/HĐ-2025</t>
  </si>
  <si>
    <t>1805/HĐ-2025</t>
  </si>
  <si>
    <t>320/HĐ-2025</t>
  </si>
  <si>
    <t>319/HĐ-2025</t>
  </si>
  <si>
    <t>1220/HĐ-2025</t>
  </si>
  <si>
    <t>819/HĐ-2025</t>
  </si>
  <si>
    <t>818/HĐ-2025</t>
  </si>
  <si>
    <t>1804/HĐ-2025</t>
  </si>
  <si>
    <t>163/HĐ-2025</t>
  </si>
  <si>
    <t>817/HĐ-2025</t>
  </si>
  <si>
    <t>201.ĐN/HĐ-2026</t>
  </si>
  <si>
    <t>321/HĐ-2025</t>
  </si>
  <si>
    <t>501/HĐ-2026</t>
  </si>
  <si>
    <t>Sanotec x Getm - Trung Quốc</t>
  </si>
  <si>
    <t>161/HĐ-2025</t>
  </si>
  <si>
    <t>1701/HĐ-2026</t>
  </si>
  <si>
    <t>1901/HĐ-2026</t>
  </si>
  <si>
    <t>502/HĐ-2026</t>
  </si>
  <si>
    <t>1501/HĐ-2026</t>
  </si>
  <si>
    <t>1601/HĐ-2026</t>
  </si>
  <si>
    <t>1201/HĐ-2026</t>
  </si>
  <si>
    <t>Quảng Ninh</t>
  </si>
  <si>
    <t>1902/HĐ-2026</t>
  </si>
  <si>
    <t>102/HĐ-2026</t>
  </si>
  <si>
    <t>202.ĐN/HĐ-2026</t>
  </si>
  <si>
    <t>203.ĐN/HĐ-2026</t>
  </si>
  <si>
    <t>104/HĐ-2026</t>
  </si>
  <si>
    <t>1602/HĐ-2026</t>
  </si>
  <si>
    <t>105/HĐ-2026</t>
  </si>
  <si>
    <t>801/HĐ-2026</t>
  </si>
  <si>
    <t>106/HĐ-2026</t>
  </si>
  <si>
    <t>107/HĐ-2026</t>
  </si>
  <si>
    <t>101A.ĐL/HĐ-2026</t>
  </si>
  <si>
    <t>108/HĐ-2026</t>
  </si>
  <si>
    <t>401/HĐ-2026</t>
  </si>
  <si>
    <t>902/HĐ-2026</t>
  </si>
  <si>
    <t>901/HĐ-2026</t>
  </si>
  <si>
    <t>110/HĐ-2026</t>
  </si>
  <si>
    <t>Sanotec - Eco Trung Quốc</t>
  </si>
  <si>
    <t>2901/HĐ-2026</t>
  </si>
  <si>
    <t>109/HĐ-2026</t>
  </si>
  <si>
    <t>904/HĐ-2026</t>
  </si>
  <si>
    <t>802/HĐ-2026</t>
  </si>
  <si>
    <t>Huế</t>
  </si>
  <si>
    <t>Đắk Nông</t>
  </si>
  <si>
    <t>Cao Bằng</t>
  </si>
  <si>
    <t>Lai Châu</t>
  </si>
  <si>
    <t>Sơn La</t>
  </si>
  <si>
    <t>Lạng Sơn</t>
  </si>
  <si>
    <t>Thanh Hóa</t>
  </si>
  <si>
    <t>Nghệ An</t>
  </si>
  <si>
    <t>Hà Tĩnh</t>
  </si>
  <si>
    <t>Hà Giang</t>
  </si>
  <si>
    <t>Tuyên Quang</t>
  </si>
  <si>
    <t>Lào Cai</t>
  </si>
  <si>
    <t>Yên Bái</t>
  </si>
  <si>
    <t>Bắc Kạn</t>
  </si>
  <si>
    <t>Thái Nguyên</t>
  </si>
  <si>
    <t>Bắc Giang</t>
  </si>
  <si>
    <t>Bắc Ninh</t>
  </si>
  <si>
    <t>Thái Bình</t>
  </si>
  <si>
    <t>Hải Dương</t>
  </si>
  <si>
    <t>Hà Nam</t>
  </si>
  <si>
    <t>Ninh Bình</t>
  </si>
  <si>
    <t>Nam Định</t>
  </si>
  <si>
    <t>Phú Yên</t>
  </si>
  <si>
    <t>Bình Phước</t>
  </si>
  <si>
    <t>Sóc Trăng</t>
  </si>
  <si>
    <t>Trà Vinh</t>
  </si>
  <si>
    <t>Bạc Liêu</t>
  </si>
  <si>
    <t>Cà Mau</t>
  </si>
  <si>
    <t>KH001</t>
  </si>
  <si>
    <t>KH002</t>
  </si>
  <si>
    <t>KH003</t>
  </si>
  <si>
    <t>KH004</t>
  </si>
  <si>
    <t>KH005</t>
  </si>
  <si>
    <t>KH006</t>
  </si>
  <si>
    <t>KH007</t>
  </si>
  <si>
    <t>KH008</t>
  </si>
  <si>
    <t>KH009</t>
  </si>
  <si>
    <t>KH010</t>
  </si>
  <si>
    <t>KH011</t>
  </si>
  <si>
    <t>KH012</t>
  </si>
  <si>
    <t>KH013</t>
  </si>
  <si>
    <t>KH014</t>
  </si>
  <si>
    <t>KH015</t>
  </si>
  <si>
    <t>KH016</t>
  </si>
  <si>
    <t>KH017</t>
  </si>
  <si>
    <t>KH018</t>
  </si>
  <si>
    <t>KH019</t>
  </si>
  <si>
    <t>KH020</t>
  </si>
  <si>
    <t>KH021</t>
  </si>
  <si>
    <t>KH022</t>
  </si>
  <si>
    <t>KH023</t>
  </si>
  <si>
    <t>KH024</t>
  </si>
  <si>
    <t>KH025</t>
  </si>
  <si>
    <t>KH026</t>
  </si>
  <si>
    <t>KH027</t>
  </si>
  <si>
    <t>KH028</t>
  </si>
  <si>
    <t>KH029</t>
  </si>
  <si>
    <t>KH030</t>
  </si>
  <si>
    <t>KH031</t>
  </si>
  <si>
    <t>KH032</t>
  </si>
  <si>
    <t>KH033</t>
  </si>
  <si>
    <t>KH034</t>
  </si>
  <si>
    <t>KH035</t>
  </si>
  <si>
    <t>KH036</t>
  </si>
  <si>
    <t>KH037</t>
  </si>
  <si>
    <t>KH038</t>
  </si>
  <si>
    <t>KH039</t>
  </si>
  <si>
    <t>KH040</t>
  </si>
  <si>
    <t>KH041</t>
  </si>
  <si>
    <t>KH042</t>
  </si>
  <si>
    <t>KH043</t>
  </si>
  <si>
    <t>KH044</t>
  </si>
  <si>
    <t>KH045</t>
  </si>
  <si>
    <t>KH046</t>
  </si>
  <si>
    <t>KH047</t>
  </si>
  <si>
    <t>KH048</t>
  </si>
  <si>
    <t>KH049</t>
  </si>
  <si>
    <t>KH050</t>
  </si>
  <si>
    <t>KH051</t>
  </si>
  <si>
    <t>KH052</t>
  </si>
  <si>
    <t>KH053</t>
  </si>
  <si>
    <t>KH054</t>
  </si>
  <si>
    <t>KH055</t>
  </si>
  <si>
    <t>KH056</t>
  </si>
  <si>
    <t>KH057</t>
  </si>
  <si>
    <t>KH058</t>
  </si>
  <si>
    <t>KH059</t>
  </si>
  <si>
    <t>KH060</t>
  </si>
  <si>
    <t>KH061</t>
  </si>
  <si>
    <t>KH062</t>
  </si>
  <si>
    <t>KH063</t>
  </si>
  <si>
    <t>KH064</t>
  </si>
  <si>
    <t>KH065</t>
  </si>
  <si>
    <t>KH066</t>
  </si>
  <si>
    <t>KH067</t>
  </si>
  <si>
    <t>KH068</t>
  </si>
  <si>
    <t>KH069</t>
  </si>
  <si>
    <t>KH070</t>
  </si>
  <si>
    <t>KH071</t>
  </si>
  <si>
    <t>KH072</t>
  </si>
  <si>
    <t>KH073</t>
  </si>
  <si>
    <t>KH074</t>
  </si>
  <si>
    <t>KH075</t>
  </si>
  <si>
    <t>KH076</t>
  </si>
  <si>
    <t>KH077</t>
  </si>
  <si>
    <t>KH078</t>
  </si>
  <si>
    <t>KH079</t>
  </si>
  <si>
    <t>KH080</t>
  </si>
  <si>
    <t>KH081</t>
  </si>
  <si>
    <t>KH082</t>
  </si>
  <si>
    <t>KH083</t>
  </si>
  <si>
    <t>KH084</t>
  </si>
  <si>
    <t>KH085</t>
  </si>
  <si>
    <t>KH086</t>
  </si>
  <si>
    <t>KH087</t>
  </si>
  <si>
    <t>KH088</t>
  </si>
  <si>
    <t>KH089</t>
  </si>
  <si>
    <t>KH090</t>
  </si>
  <si>
    <t>KH091</t>
  </si>
  <si>
    <t>KH092</t>
  </si>
  <si>
    <t>KH093</t>
  </si>
  <si>
    <t>KH094</t>
  </si>
  <si>
    <t>KH095</t>
  </si>
  <si>
    <t>KH096</t>
  </si>
  <si>
    <t>KH097</t>
  </si>
  <si>
    <t>KH098</t>
  </si>
  <si>
    <t>KH099</t>
  </si>
  <si>
    <t>KH100</t>
  </si>
  <si>
    <t>KH101</t>
  </si>
  <si>
    <t>KH102</t>
  </si>
  <si>
    <t>KH103</t>
  </si>
  <si>
    <t>KH104</t>
  </si>
  <si>
    <t>KH105</t>
  </si>
  <si>
    <t>KH106</t>
  </si>
  <si>
    <t>KH107</t>
  </si>
  <si>
    <t>KH108</t>
  </si>
  <si>
    <t>KH109</t>
  </si>
  <si>
    <t>KH110</t>
  </si>
  <si>
    <t>KH111</t>
  </si>
  <si>
    <t>KH112</t>
  </si>
  <si>
    <t>KH113</t>
  </si>
  <si>
    <t>KH114</t>
  </si>
  <si>
    <t>KH115</t>
  </si>
  <si>
    <t>KH116</t>
  </si>
  <si>
    <t>KH117</t>
  </si>
  <si>
    <t>KH118</t>
  </si>
  <si>
    <t>KH119</t>
  </si>
  <si>
    <t>KH120</t>
  </si>
  <si>
    <t>KH121</t>
  </si>
  <si>
    <t>KH122</t>
  </si>
  <si>
    <t>KH123</t>
  </si>
  <si>
    <t>KH124</t>
  </si>
  <si>
    <t>KH125</t>
  </si>
  <si>
    <t>KH126</t>
  </si>
  <si>
    <t>KH127</t>
  </si>
  <si>
    <t>KH128</t>
  </si>
  <si>
    <t>KH129</t>
  </si>
  <si>
    <t>KH130</t>
  </si>
  <si>
    <t>KH131</t>
  </si>
  <si>
    <t>KH132</t>
  </si>
  <si>
    <t>KH133</t>
  </si>
  <si>
    <t>KH134</t>
  </si>
  <si>
    <t>KH135</t>
  </si>
  <si>
    <t>KH136</t>
  </si>
  <si>
    <t>KH137</t>
  </si>
  <si>
    <t>KH138</t>
  </si>
  <si>
    <t>KH139</t>
  </si>
  <si>
    <t>KH140</t>
  </si>
  <si>
    <t>KH141</t>
  </si>
  <si>
    <t>KH142</t>
  </si>
  <si>
    <t>KH143</t>
  </si>
  <si>
    <t>KH144</t>
  </si>
  <si>
    <t>KH145</t>
  </si>
  <si>
    <t>KH146</t>
  </si>
  <si>
    <t>KH147</t>
  </si>
  <si>
    <t>KH148</t>
  </si>
  <si>
    <t>KH149</t>
  </si>
  <si>
    <t>KH150</t>
  </si>
  <si>
    <t>KH151</t>
  </si>
  <si>
    <t>KH152</t>
  </si>
  <si>
    <t>KH153</t>
  </si>
  <si>
    <t>KH154</t>
  </si>
  <si>
    <t>KH155</t>
  </si>
  <si>
    <t>KH156</t>
  </si>
  <si>
    <t>KH157</t>
  </si>
  <si>
    <t>KH158</t>
  </si>
  <si>
    <t>KH159</t>
  </si>
  <si>
    <t>KH160</t>
  </si>
  <si>
    <t>KH161</t>
  </si>
  <si>
    <t>KH162</t>
  </si>
  <si>
    <t>KH163</t>
  </si>
  <si>
    <t>KH164</t>
  </si>
  <si>
    <t>KH165</t>
  </si>
  <si>
    <t>KH166</t>
  </si>
  <si>
    <t>KH167</t>
  </si>
  <si>
    <t>KH168</t>
  </si>
  <si>
    <t>KH169</t>
  </si>
  <si>
    <t>KH170</t>
  </si>
  <si>
    <t>KH171</t>
  </si>
  <si>
    <t>KH172</t>
  </si>
  <si>
    <t>KH173</t>
  </si>
  <si>
    <t>KH174</t>
  </si>
  <si>
    <t>KH175</t>
  </si>
  <si>
    <t>KH176</t>
  </si>
  <si>
    <t>KH177</t>
  </si>
  <si>
    <t>KH178</t>
  </si>
  <si>
    <t>KH179</t>
  </si>
  <si>
    <t>KH180</t>
  </si>
  <si>
    <t>KH181</t>
  </si>
  <si>
    <t>KH182</t>
  </si>
  <si>
    <t>KH183</t>
  </si>
  <si>
    <t>KH184</t>
  </si>
  <si>
    <t>KH185</t>
  </si>
  <si>
    <t>KH186</t>
  </si>
  <si>
    <t>KH187</t>
  </si>
  <si>
    <t>KH188</t>
  </si>
  <si>
    <t>KH189</t>
  </si>
  <si>
    <t>KH190</t>
  </si>
  <si>
    <t>KH191</t>
  </si>
  <si>
    <t>KH192</t>
  </si>
  <si>
    <t>KH193</t>
  </si>
  <si>
    <t>KH194</t>
  </si>
  <si>
    <t>KH195</t>
  </si>
  <si>
    <t>KH196</t>
  </si>
  <si>
    <t>KH197</t>
  </si>
  <si>
    <t>KH198</t>
  </si>
  <si>
    <t>KH199</t>
  </si>
  <si>
    <t>KH200</t>
  </si>
  <si>
    <t>KH201</t>
  </si>
  <si>
    <t>KH202</t>
  </si>
  <si>
    <t>KH203</t>
  </si>
  <si>
    <t>KH204</t>
  </si>
  <si>
    <t>KH205</t>
  </si>
  <si>
    <t>KH206</t>
  </si>
  <si>
    <t>KH207</t>
  </si>
  <si>
    <t>KH208</t>
  </si>
  <si>
    <t>KH209</t>
  </si>
  <si>
    <t>KH210</t>
  </si>
  <si>
    <t>KH211</t>
  </si>
  <si>
    <t>KH212</t>
  </si>
  <si>
    <t>KH213</t>
  </si>
  <si>
    <t>KH214</t>
  </si>
  <si>
    <t>KH215</t>
  </si>
  <si>
    <t>KH216</t>
  </si>
  <si>
    <t>KH217</t>
  </si>
  <si>
    <t>KH218</t>
  </si>
  <si>
    <t>KH219</t>
  </si>
  <si>
    <t>KH220</t>
  </si>
  <si>
    <t>KH221</t>
  </si>
  <si>
    <t>KH222</t>
  </si>
  <si>
    <t>KH223</t>
  </si>
  <si>
    <t>KH224</t>
  </si>
  <si>
    <t>KH225</t>
  </si>
  <si>
    <t>KH226</t>
  </si>
  <si>
    <t>KH227</t>
  </si>
  <si>
    <t>KH228</t>
  </si>
  <si>
    <t>KH229</t>
  </si>
  <si>
    <t>KH230</t>
  </si>
  <si>
    <t>KH231</t>
  </si>
  <si>
    <t>KH232</t>
  </si>
  <si>
    <t>KH233</t>
  </si>
  <si>
    <t>KH234</t>
  </si>
  <si>
    <t>KH235</t>
  </si>
  <si>
    <t>KH236</t>
  </si>
  <si>
    <t>KH237</t>
  </si>
  <si>
    <t>KH238</t>
  </si>
  <si>
    <t>KH239</t>
  </si>
  <si>
    <t>KH240</t>
  </si>
  <si>
    <t>KH241</t>
  </si>
  <si>
    <t>KH242</t>
  </si>
  <si>
    <t>KH243</t>
  </si>
  <si>
    <t>KH244</t>
  </si>
  <si>
    <t>KH245</t>
  </si>
  <si>
    <t>KH246</t>
  </si>
  <si>
    <t>KH247</t>
  </si>
  <si>
    <t>KH248</t>
  </si>
  <si>
    <t>KH249</t>
  </si>
  <si>
    <t>KH250</t>
  </si>
  <si>
    <t>KH251</t>
  </si>
  <si>
    <t>KH252</t>
  </si>
  <si>
    <t>KH253</t>
  </si>
  <si>
    <t>KH254</t>
  </si>
  <si>
    <t>KH255</t>
  </si>
  <si>
    <t>KH256</t>
  </si>
  <si>
    <t>KH257</t>
  </si>
  <si>
    <t>KH258</t>
  </si>
  <si>
    <t>KH259</t>
  </si>
  <si>
    <t>KH260</t>
  </si>
  <si>
    <t>KH261</t>
  </si>
  <si>
    <t>KH262</t>
  </si>
  <si>
    <t>KH263</t>
  </si>
  <si>
    <t>KH264</t>
  </si>
  <si>
    <t>KH265</t>
  </si>
  <si>
    <t>KH266</t>
  </si>
  <si>
    <t>KH267</t>
  </si>
  <si>
    <t>KH268</t>
  </si>
  <si>
    <t>KH269</t>
  </si>
  <si>
    <t>KH270</t>
  </si>
  <si>
    <t>KH271</t>
  </si>
  <si>
    <t>KH272</t>
  </si>
  <si>
    <t>KH273</t>
  </si>
  <si>
    <t>KH274</t>
  </si>
  <si>
    <t>KH275</t>
  </si>
  <si>
    <t>KH276</t>
  </si>
  <si>
    <t>KH277</t>
  </si>
  <si>
    <t>KH278</t>
  </si>
  <si>
    <t>KH279</t>
  </si>
  <si>
    <t>KH280</t>
  </si>
  <si>
    <t>KH281</t>
  </si>
  <si>
    <t>KH282</t>
  </si>
  <si>
    <t>KH283</t>
  </si>
  <si>
    <t>KH284</t>
  </si>
  <si>
    <t>KH285</t>
  </si>
  <si>
    <t>KH286</t>
  </si>
  <si>
    <t>KH287</t>
  </si>
  <si>
    <t>KH288</t>
  </si>
  <si>
    <t>KH289</t>
  </si>
  <si>
    <t>KH290</t>
  </si>
  <si>
    <t>KH291</t>
  </si>
  <si>
    <t>KH292</t>
  </si>
  <si>
    <t>KH293</t>
  </si>
  <si>
    <t>KH294</t>
  </si>
  <si>
    <t>KH295</t>
  </si>
  <si>
    <t>KH296</t>
  </si>
  <si>
    <t>KH297</t>
  </si>
  <si>
    <t>KH298</t>
  </si>
  <si>
    <t>KH299</t>
  </si>
  <si>
    <t>KH300</t>
  </si>
  <si>
    <t>KH301</t>
  </si>
  <si>
    <t>KH302</t>
  </si>
  <si>
    <t>KH303</t>
  </si>
  <si>
    <t>KH304</t>
  </si>
  <si>
    <t>KH305</t>
  </si>
  <si>
    <t>KH306</t>
  </si>
  <si>
    <t>KH307</t>
  </si>
  <si>
    <t>KH308</t>
  </si>
  <si>
    <t>KH309</t>
  </si>
  <si>
    <t>KH310</t>
  </si>
  <si>
    <t>KH311</t>
  </si>
  <si>
    <t>KH312</t>
  </si>
  <si>
    <t>KH313</t>
  </si>
  <si>
    <t>KH314</t>
  </si>
  <si>
    <t>KH315</t>
  </si>
  <si>
    <t>KH316</t>
  </si>
  <si>
    <t>KH317</t>
  </si>
  <si>
    <t>KH318</t>
  </si>
  <si>
    <t>KH319</t>
  </si>
  <si>
    <t>KH320</t>
  </si>
  <si>
    <t>KH321</t>
  </si>
  <si>
    <t>KH322</t>
  </si>
  <si>
    <t>KH323</t>
  </si>
  <si>
    <t>KH324</t>
  </si>
  <si>
    <t>KH325</t>
  </si>
  <si>
    <t>KH326</t>
  </si>
  <si>
    <t>KH327</t>
  </si>
  <si>
    <t>KH328</t>
  </si>
  <si>
    <t>SP001</t>
  </si>
  <si>
    <t>SP002</t>
  </si>
  <si>
    <t>SP003</t>
  </si>
  <si>
    <t>SP004</t>
  </si>
  <si>
    <t>SP005</t>
  </si>
  <si>
    <t>SP006</t>
  </si>
  <si>
    <t>SP007</t>
  </si>
  <si>
    <t>SP008</t>
  </si>
  <si>
    <t>SP009</t>
  </si>
  <si>
    <t>SP010</t>
  </si>
  <si>
    <t>SP011</t>
  </si>
  <si>
    <t>SP012</t>
  </si>
  <si>
    <t>SP013</t>
  </si>
  <si>
    <t>SP014</t>
  </si>
  <si>
    <t>SP015</t>
  </si>
  <si>
    <t>Appendix_date</t>
  </si>
  <si>
    <t>201/HĐ-2024</t>
  </si>
  <si>
    <t>202/HĐ-2024</t>
  </si>
  <si>
    <t>111/HĐ-2024</t>
  </si>
  <si>
    <t>818/HĐ-2024</t>
  </si>
  <si>
    <t>142/HĐ-2024</t>
  </si>
  <si>
    <t>1104/HĐ-2025</t>
  </si>
  <si>
    <t>1102/HĐ-2025</t>
  </si>
  <si>
    <t>công ty tnhh kingsmen việt nam</t>
  </si>
  <si>
    <t>trần thái hưng</t>
  </si>
  <si>
    <t>trần hoàng hải</t>
  </si>
  <si>
    <t>đặng hữu long</t>
  </si>
  <si>
    <t>nguyễn quang thịnh</t>
  </si>
  <si>
    <t>trần dương phương hùng</t>
  </si>
  <si>
    <t>trần đức thọ</t>
  </si>
  <si>
    <t>trần văn ơn</t>
  </si>
  <si>
    <t>huỳnh quang phú</t>
  </si>
  <si>
    <t>công ty cổ phần thực phẩm cát hải</t>
  </si>
  <si>
    <t>công ty tnhh thương mại dịch vụ sơn hữu</t>
  </si>
  <si>
    <t>hồ thị bửu an</t>
  </si>
  <si>
    <t>đinh hữu nhân</t>
  </si>
  <si>
    <t>công ty tnhh đầu tư phát triển khách sạn hoàng phát</t>
  </si>
  <si>
    <t>bùi hữu thọ</t>
  </si>
  <si>
    <t>huỳnh thành chung</t>
  </si>
  <si>
    <t>trần nguyễn quốc hậu</t>
  </si>
  <si>
    <t>nguyễn thanh sơn</t>
  </si>
  <si>
    <t>trương thị hoa</t>
  </si>
  <si>
    <t>lê thị thu vân</t>
  </si>
  <si>
    <t>lê việt bằng</t>
  </si>
  <si>
    <t>lê nguyễn ngọc vũ</t>
  </si>
  <si>
    <t>công ty tnhh itl vsip</t>
  </si>
  <si>
    <t>công ty cổ phần thương mại dịch vụ vht việt nam</t>
  </si>
  <si>
    <t>nguyễn thị quỳnh trang</t>
  </si>
  <si>
    <t>đặng thị lan anh</t>
  </si>
  <si>
    <t>đỗ ngọc huỳnh</t>
  </si>
  <si>
    <t>lê chuyển</t>
  </si>
  <si>
    <t>công ty tnhh hương phan academy</t>
  </si>
  <si>
    <t>hồ đăng khôi nguyên</t>
  </si>
  <si>
    <t>trần vĩnh phúc</t>
  </si>
  <si>
    <t>trần mỹ ngọc</t>
  </si>
  <si>
    <t>công ty cp đầu tư kiến trúc xây dựng thiết thạch - cn quận 10</t>
  </si>
  <si>
    <t>công ty cổ phần tư vấn thiết kế và đầu tư xây dựng đất việt</t>
  </si>
  <si>
    <t>ngô thị nguyệt hà</t>
  </si>
  <si>
    <t>đỗ tấn minh</t>
  </si>
  <si>
    <t>nguyễn trọng thùy</t>
  </si>
  <si>
    <t>trịnh trung côi</t>
  </si>
  <si>
    <t>lê thị thanh mai</t>
  </si>
  <si>
    <t>trường đại học đông á</t>
  </si>
  <si>
    <t>tạ văn thuyên</t>
  </si>
  <si>
    <t>nguyễn thành hiệp</t>
  </si>
  <si>
    <t>tôn thị thủy tiên</t>
  </si>
  <si>
    <t>nguyễn tiến dũng</t>
  </si>
  <si>
    <t>nguyễn tuyết mai</t>
  </si>
  <si>
    <t>đặng đức can cường</t>
  </si>
  <si>
    <t>vũ văn giáp</t>
  </si>
  <si>
    <t>trần nhật linh</t>
  </si>
  <si>
    <t>nguyễn đức hồng</t>
  </si>
  <si>
    <t>lâm quang vũ</t>
  </si>
  <si>
    <t>nguyễn thị hạnh</t>
  </si>
  <si>
    <t>nguyễn thị lệ thu</t>
  </si>
  <si>
    <t>nguyễn thị lan hương</t>
  </si>
  <si>
    <t>nguyễn thái hiền</t>
  </si>
  <si>
    <t>phạm văn dưỡng</t>
  </si>
  <si>
    <t>nguyễn anh tuấn</t>
  </si>
  <si>
    <t>phạm thị thu thủy</t>
  </si>
  <si>
    <t>huỳnh ngọc xuân</t>
  </si>
  <si>
    <t>trần mạnh hùng</t>
  </si>
  <si>
    <t>trần trung hải</t>
  </si>
  <si>
    <t>nguyễn thị tuyết mai</t>
  </si>
  <si>
    <t>phan đỗ minh anh</t>
  </si>
  <si>
    <t>nguyễn đoàn mạnh</t>
  </si>
  <si>
    <t>nguyễn kính tùng</t>
  </si>
  <si>
    <t>nguyễn thành phát</t>
  </si>
  <si>
    <t>nguyễn thị minh giao</t>
  </si>
  <si>
    <t>công ty cổ phần giấy đồng tiến long an</t>
  </si>
  <si>
    <t>bùi văn tuấn</t>
  </si>
  <si>
    <t>nguyễn quốc trường</t>
  </si>
  <si>
    <t>trương ngọc cúc</t>
  </si>
  <si>
    <t>phan văn hân</t>
  </si>
  <si>
    <t>công ty tnhh phát triển kiến trúc and</t>
  </si>
  <si>
    <t>vòng nhì múi</t>
  </si>
  <si>
    <t>nguyễn thị lan</t>
  </si>
  <si>
    <t>trần quý ly</t>
  </si>
  <si>
    <t>nguyễn văn tỷ</t>
  </si>
  <si>
    <t>nguyễn văn hồng</t>
  </si>
  <si>
    <t>lê thị phương hiếu</t>
  </si>
  <si>
    <t>phạm thị anh trâm</t>
  </si>
  <si>
    <t>trần văn cương</t>
  </si>
  <si>
    <t>dư xuân đức</t>
  </si>
  <si>
    <t>nguyễn thị tuyết loan</t>
  </si>
  <si>
    <t>phạm văn sơn</t>
  </si>
  <si>
    <t>nguyễn công tiến</t>
  </si>
  <si>
    <t>trần văn lý</t>
  </si>
  <si>
    <t>hồ văn quang</t>
  </si>
  <si>
    <t>lê tuấn hải</t>
  </si>
  <si>
    <t>huỳnh minh tuyến</t>
  </si>
  <si>
    <t>nguyễn tất lương</t>
  </si>
  <si>
    <t>mai thị thu hường</t>
  </si>
  <si>
    <t>lâm ngọc tỉnh</t>
  </si>
  <si>
    <t>vòng thị thúy phượng</t>
  </si>
  <si>
    <t>lê ngọc hoàn</t>
  </si>
  <si>
    <t>công ty tnhh dịch vụ thương mại gia mỹ</t>
  </si>
  <si>
    <t>trần quang hiển</t>
  </si>
  <si>
    <t>đào minh sơn</t>
  </si>
  <si>
    <t>công ty cổ phần đầu tư xây dựng viteccons</t>
  </si>
  <si>
    <t>mai thị hạnh</t>
  </si>
  <si>
    <t>huỳnh công luận</t>
  </si>
  <si>
    <t>trương anh kiệt</t>
  </si>
  <si>
    <t>trần kiều loan</t>
  </si>
  <si>
    <t>vũ thị kim oanh</t>
  </si>
  <si>
    <t>âu dương phước</t>
  </si>
  <si>
    <t>phan thị thu nguyệt</t>
  </si>
  <si>
    <t>tô xuân hùng</t>
  </si>
  <si>
    <t>nguyễn văn thống</t>
  </si>
  <si>
    <t>công ty cổ phần him lam an phát</t>
  </si>
  <si>
    <t>lê công vượng</t>
  </si>
  <si>
    <t>võ thị thanh ngọc</t>
  </si>
  <si>
    <t>đặng văn quốc</t>
  </si>
  <si>
    <t>nguyễn hoàng việt</t>
  </si>
  <si>
    <t>trương hoàng tâm</t>
  </si>
  <si>
    <t>võ thị thanh diệp</t>
  </si>
  <si>
    <t>huỳnh thanh châu</t>
  </si>
  <si>
    <t>trương sĩ lễ</t>
  </si>
  <si>
    <t>nguyễn thị vân hoài</t>
  </si>
  <si>
    <t>nguyễn phúc hoàn vũ</t>
  </si>
  <si>
    <t>đỗ thị thùy trang</t>
  </si>
  <si>
    <t>công ty cổ phần thương mại và dịch vụ kiểm tra kỹ thuật alpha</t>
  </si>
  <si>
    <t>võ tuyết vân</t>
  </si>
  <si>
    <t>công ty tnhh xây dựng gemma</t>
  </si>
  <si>
    <t>lê đình nghiêm</t>
  </si>
  <si>
    <t>công ty tnhh nhà thành phố sài gòn</t>
  </si>
  <si>
    <t>đặng thị thủy</t>
  </si>
  <si>
    <t>công ty cổ phần australian general engineering việt nam</t>
  </si>
  <si>
    <t>trần minh hoàng</t>
  </si>
  <si>
    <t>trần văn hiền</t>
  </si>
  <si>
    <t>phạm thị tố ngân</t>
  </si>
  <si>
    <t>võ văn bỏ</t>
  </si>
  <si>
    <t>đỗ tấn cang</t>
  </si>
  <si>
    <t>võ tuấn minh</t>
  </si>
  <si>
    <t>la thanh cần</t>
  </si>
  <si>
    <t>nguyễn hữu trọng</t>
  </si>
  <si>
    <t>lê quang bảo trân</t>
  </si>
  <si>
    <t>phạm xuân lâm</t>
  </si>
  <si>
    <t>trương anh tài</t>
  </si>
  <si>
    <t>đương quốc việt</t>
  </si>
  <si>
    <t>lâm thị mỹ phượng</t>
  </si>
  <si>
    <t>lê hồng sơn</t>
  </si>
  <si>
    <t>nguyễn minh thắng</t>
  </si>
  <si>
    <t>đoàn văn thành</t>
  </si>
  <si>
    <t>lê minh tiến</t>
  </si>
  <si>
    <t>bệnh viện quận tân bình</t>
  </si>
  <si>
    <t>vũ thị mai</t>
  </si>
  <si>
    <t>lâm hoài nam</t>
  </si>
  <si>
    <t>lê hoàng cầm</t>
  </si>
  <si>
    <t>bùi ngọc thắng</t>
  </si>
  <si>
    <t>lê trần thái</t>
  </si>
  <si>
    <t>công ty tnhh thiết kế và xây dựng fastcons</t>
  </si>
  <si>
    <t>công ty cổ phần vacxin việt nam-chi nhánh tp.hcm</t>
  </si>
  <si>
    <t>vương tú cẩm</t>
  </si>
  <si>
    <t>công ty cổ phần thực phẩm gn</t>
  </si>
  <si>
    <t>trần văn út</t>
  </si>
  <si>
    <t>cao thị thanh thủy</t>
  </si>
  <si>
    <t>lê thanh hồng</t>
  </si>
  <si>
    <t>lê duy khánh</t>
  </si>
  <si>
    <t>nguyễn ngọc ánh mai</t>
  </si>
  <si>
    <t>công ty tnhh tấn phong home</t>
  </si>
  <si>
    <t>la trần nhã</t>
  </si>
  <si>
    <t>trần minh đức</t>
  </si>
  <si>
    <t>trần nguyên hoàng anh</t>
  </si>
  <si>
    <t>nguyễn thanh nguyệt minh</t>
  </si>
  <si>
    <t>vũ minh dương</t>
  </si>
  <si>
    <t>nguyễn vũ</t>
  </si>
  <si>
    <t>nguyễn tiến thành</t>
  </si>
  <si>
    <t>hoàng đức trọng</t>
  </si>
  <si>
    <t>đoàn anh tuấn</t>
  </si>
  <si>
    <t>bà tất kỳ vân</t>
  </si>
  <si>
    <t>công ty tnhh maison decor</t>
  </si>
  <si>
    <t>ông nguyễn khắc giang</t>
  </si>
  <si>
    <t>ông hà nhật thanh</t>
  </si>
  <si>
    <t>công ty tnhh đầu tư xây dựng thương mại võ thái hà</t>
  </si>
  <si>
    <t>công ty cp chế biến hàng xuất khẩu long an</t>
  </si>
  <si>
    <t>bà nguyễn thị kim anh</t>
  </si>
  <si>
    <t>ông nguyễn văn trường</t>
  </si>
  <si>
    <t>bà phạm thị thu thủy</t>
  </si>
  <si>
    <t>bà phạm thu huyền</t>
  </si>
  <si>
    <t>ông lê hải đăng</t>
  </si>
  <si>
    <t>ông bùi phương nam</t>
  </si>
  <si>
    <t>bà vương huệ vân</t>
  </si>
  <si>
    <t>ông hoàng tuấn anh</t>
  </si>
  <si>
    <t>bà nguyễn thị kim liên</t>
  </si>
  <si>
    <t>bà ngô thị lâm</t>
  </si>
  <si>
    <t>ông phạm văn tuấn</t>
  </si>
  <si>
    <t>bà nguyễn tô vân</t>
  </si>
  <si>
    <t>ông dương mạnh trung</t>
  </si>
  <si>
    <t>ông nguyễn minh thành</t>
  </si>
  <si>
    <t>bà hồ thị loan anh</t>
  </si>
  <si>
    <t>ông nguyễn văn nhẫn</t>
  </si>
  <si>
    <t>ông nguyễn viết dũng</t>
  </si>
  <si>
    <t>ông vũ phương tú</t>
  </si>
  <si>
    <t>ông võ đỗ minh hoàng</t>
  </si>
  <si>
    <t>công ty tnhh jrp vn</t>
  </si>
  <si>
    <t>ông tăng viết hùng</t>
  </si>
  <si>
    <t>công ty tnhh nguồn á châu</t>
  </si>
  <si>
    <t>ông vũ bá ổn</t>
  </si>
  <si>
    <t>ông đỗ hùng cường</t>
  </si>
  <si>
    <t>bà lê thị minh phụng</t>
  </si>
  <si>
    <t>ông trương đình hải</t>
  </si>
  <si>
    <t>ông bùi hữu thọ</t>
  </si>
  <si>
    <t>ông hồ viết trung</t>
  </si>
  <si>
    <t>ông nguyễn đình phước</t>
  </si>
  <si>
    <t>bà phan cẩm tú</t>
  </si>
  <si>
    <t>ông nguyễn minh tân</t>
  </si>
  <si>
    <t>ông nguyễn ngọc ánh</t>
  </si>
  <si>
    <t>công ty tnhh tm dv oto đức tín phát</t>
  </si>
  <si>
    <t>ông lục chấn bang</t>
  </si>
  <si>
    <t>ông lê thanh hải</t>
  </si>
  <si>
    <t>ông hà xuân hưng</t>
  </si>
  <si>
    <t>ông châu trần văn thuận</t>
  </si>
  <si>
    <t>ông bùi lê khiêm</t>
  </si>
  <si>
    <t>ông nguyễn thái sơn</t>
  </si>
  <si>
    <t>ông nguyễn thanh hùng</t>
  </si>
  <si>
    <t>công ty tnhh mtv vận tải dòng nước vàng</t>
  </si>
  <si>
    <t>bà tống nguyễn diễm hồng</t>
  </si>
  <si>
    <t>ông phạm xuân phú</t>
  </si>
  <si>
    <t>bà nguyễn hồng phương</t>
  </si>
  <si>
    <t>ông trần xáng</t>
  </si>
  <si>
    <t>công ty tnhh thương mại - xây dựng lê thành</t>
  </si>
  <si>
    <t>ông võ ngọc viên</t>
  </si>
  <si>
    <t>bà huỳnh thị quý</t>
  </si>
  <si>
    <t>bà phan thị ngọc hà</t>
  </si>
  <si>
    <t>ông lâm quang vũ</t>
  </si>
  <si>
    <t>công ty tnhh tư vấn thiết kế - xây dựng tỷ lệ vàng</t>
  </si>
  <si>
    <t>ông phạm tuấn sơn</t>
  </si>
  <si>
    <t>bà biện kim loan</t>
  </si>
  <si>
    <t>ông trương bá nguyên</t>
  </si>
  <si>
    <t>chi nhánh công ty cổ phần sản xuất, thương mại và dịch vụ phúc thịnh</t>
  </si>
  <si>
    <t>ông lương anh tiến</t>
  </si>
  <si>
    <t>công ty cổ phần tập đoàn visimex</t>
  </si>
  <si>
    <t>bà nguyễn thị kim thanh</t>
  </si>
  <si>
    <t>ông trần quang minh</t>
  </si>
  <si>
    <t>ông nhâm mạnh quân</t>
  </si>
  <si>
    <t>ông lê nam hùng</t>
  </si>
  <si>
    <t>ông ninh quang thuận</t>
  </si>
  <si>
    <t>bà mai thảo vi</t>
  </si>
  <si>
    <t>bà huỳnh thị lệ huyền</t>
  </si>
  <si>
    <t>ông hoàng anh</t>
  </si>
  <si>
    <t>bà nguyễn thị thu nga</t>
  </si>
  <si>
    <t>ông phạm nhật tiến</t>
  </si>
  <si>
    <t>công ty tnhh hải sơn</t>
  </si>
  <si>
    <t>ông nguyễn hồng dương</t>
  </si>
  <si>
    <t>ông trần hoài nam</t>
  </si>
  <si>
    <t>ông nguyễn hữu anh</t>
  </si>
  <si>
    <t>ông dương thanh bình</t>
  </si>
  <si>
    <t>bà châu lệ quyên</t>
  </si>
  <si>
    <t>ông nguyễn huyền phúc</t>
  </si>
  <si>
    <t>ông trần thanh vũ</t>
  </si>
  <si>
    <t>ông nguyễn ngọc linh</t>
  </si>
  <si>
    <t>ông trần đức vinh</t>
  </si>
  <si>
    <t>bà võ thị mộng trinh</t>
  </si>
  <si>
    <t>ông nguyễn ngọc hưng</t>
  </si>
  <si>
    <t>bà phạm thị kiều hạnh</t>
  </si>
  <si>
    <t>ông nguyễn văn nam</t>
  </si>
  <si>
    <t>ông trần thiên quốc thái</t>
  </si>
  <si>
    <t>bà lê thị bé chính</t>
  </si>
  <si>
    <t>ông tạ văn thuyên</t>
  </si>
  <si>
    <t>ông ông cao triển</t>
  </si>
  <si>
    <t>nguyễn thị ngọc</t>
  </si>
  <si>
    <t>ông phạm văn bình</t>
  </si>
  <si>
    <t>ông bùi văn trung</t>
  </si>
  <si>
    <t>ông trần hải phong</t>
  </si>
  <si>
    <t>công ty tnhh tư vấn đầu tư xây dựng điền nam</t>
  </si>
  <si>
    <t>bà lê thị tiền</t>
  </si>
  <si>
    <t>bà phạm thị kim thoa</t>
  </si>
  <si>
    <t>hoàng ngọc tuyết</t>
  </si>
  <si>
    <t>trần đức doanh</t>
  </si>
  <si>
    <t>đỗ thị thu hương</t>
  </si>
  <si>
    <t>lâm trung hiếu</t>
  </si>
  <si>
    <t>nguyễn lý đức quân</t>
  </si>
  <si>
    <t>huỳnh thanh chung</t>
  </si>
  <si>
    <t>trần minh duy</t>
  </si>
  <si>
    <t>nìm sở há</t>
  </si>
  <si>
    <t>đặng phi long</t>
  </si>
  <si>
    <t>đoàn minh thuận</t>
  </si>
  <si>
    <t>hồ châu tuấn</t>
  </si>
  <si>
    <t>trần thị mỹ giang</t>
  </si>
  <si>
    <t>nguyễn quang thiện</t>
  </si>
  <si>
    <t>trương nhật quỳnh</t>
  </si>
  <si>
    <t>hồ anh đức</t>
  </si>
  <si>
    <t>nguyễn duy linh</t>
  </si>
  <si>
    <t>nguyễn thị phương dinh</t>
  </si>
  <si>
    <t>đinh quỳnh hương lâm</t>
  </si>
  <si>
    <t>nguyễn thị thanh như</t>
  </si>
  <si>
    <t>dương chí phong</t>
  </si>
  <si>
    <t>nguyễn văn ấm</t>
  </si>
  <si>
    <t>vũ thanh khoa</t>
  </si>
  <si>
    <t>nguyễn hồng hiếu</t>
  </si>
  <si>
    <t>hoàng xuân tuấn</t>
  </si>
  <si>
    <t>nguyễn minh hải</t>
  </si>
  <si>
    <t>nguyễn văn thành</t>
  </si>
  <si>
    <t>vũ việt tiến</t>
  </si>
  <si>
    <t>trần duy tân</t>
  </si>
  <si>
    <t>nguyễn xuân mai</t>
  </si>
  <si>
    <t>nguyễn quốc toản</t>
  </si>
  <si>
    <t>võ thái hà</t>
  </si>
  <si>
    <t>nguyễn văn tình</t>
  </si>
  <si>
    <t>nguyễn hùng sơn</t>
  </si>
  <si>
    <t>nguyễn gia hào</t>
  </si>
  <si>
    <t>vũ thắng</t>
  </si>
  <si>
    <t>thái thanh xuân</t>
  </si>
  <si>
    <t>lê thành vinh</t>
  </si>
  <si>
    <t>nguyễn tu mi</t>
  </si>
  <si>
    <t>phan thanh huy</t>
  </si>
  <si>
    <t>thái văn toàn</t>
  </si>
  <si>
    <t>ngô bảo tuấn</t>
  </si>
  <si>
    <t>trần thị hiệp</t>
  </si>
  <si>
    <t>lê tâm hiếu</t>
  </si>
  <si>
    <t>phạm thị tuyết vân</t>
  </si>
  <si>
    <t>phạm thị minh</t>
  </si>
  <si>
    <t>trần thụy như</t>
  </si>
  <si>
    <t>nguyễn anh sơn</t>
  </si>
  <si>
    <t>trần xuân nghĩa</t>
  </si>
  <si>
    <t>tô chí tài</t>
  </si>
  <si>
    <t>tô xíu khanh</t>
  </si>
  <si>
    <t>phan duy thành</t>
  </si>
  <si>
    <t>hồ thị lan chi</t>
  </si>
  <si>
    <t>nguyễn phương nam</t>
  </si>
  <si>
    <t>công ty tnhh mtv tư vấn xây dựng gia phú</t>
  </si>
  <si>
    <t>công ty tnhh nha khoa ko.se.i.kai</t>
  </si>
  <si>
    <t>nguyễn đình thuận</t>
  </si>
  <si>
    <t>nguyễn tấn quang</t>
  </si>
  <si>
    <t>trần tấn thanh</t>
  </si>
  <si>
    <t>công ty cổ phần tập đoàn trần anh long an</t>
  </si>
  <si>
    <t>phạm công liêm</t>
  </si>
  <si>
    <t>trần minh tuấn</t>
  </si>
  <si>
    <t>nguyễn xuân toàn</t>
  </si>
  <si>
    <t>trần nguyễn phương an</t>
  </si>
  <si>
    <t>customer_type</t>
  </si>
  <si>
    <t>company</t>
  </si>
  <si>
    <t>private</t>
  </si>
  <si>
    <t>hồ sĩ tiến</t>
  </si>
  <si>
    <t>cao duy tâm</t>
  </si>
  <si>
    <t>nguyễn ngọc tuấn</t>
  </si>
  <si>
    <t>phan lương huy</t>
  </si>
  <si>
    <t>nguyễn tuấn anh</t>
  </si>
  <si>
    <t>trịnh xuân trường</t>
  </si>
  <si>
    <t>văn đinh mạnh tuấn</t>
  </si>
  <si>
    <t>trần bảo linh</t>
  </si>
  <si>
    <t>đỗ thị bích thủy</t>
  </si>
  <si>
    <t>nguyễn đình toàn</t>
  </si>
  <si>
    <t>nguyễn văn truyền</t>
  </si>
  <si>
    <t>đinh mạnh tuấn</t>
  </si>
  <si>
    <t>nguyễn văn thu</t>
  </si>
  <si>
    <t>trần ngọc dũng</t>
  </si>
  <si>
    <t>công ty tnhh thương mại và xuất nhập khẩu namsan</t>
  </si>
  <si>
    <t>trương thanh tuyền</t>
  </si>
  <si>
    <t>võ xuân hòa</t>
  </si>
  <si>
    <t>vũ hồng nhung</t>
  </si>
  <si>
    <t>huỳnh thị lệ quyên</t>
  </si>
  <si>
    <t>nguyễn thu bình</t>
  </si>
  <si>
    <t>lê trang</t>
  </si>
  <si>
    <t>nguyễn văn chí</t>
  </si>
  <si>
    <t>mai thành vông</t>
  </si>
  <si>
    <t>phạm thị quỳnh lâm</t>
  </si>
  <si>
    <t>lê trí bá</t>
  </si>
  <si>
    <t>lê huy phúc</t>
  </si>
  <si>
    <t>phạm thị kim uyên</t>
  </si>
  <si>
    <t>nguyễn minh phương</t>
  </si>
  <si>
    <t>nguyễn thành trung</t>
  </si>
  <si>
    <t>trần anh khoa</t>
  </si>
  <si>
    <t>phan công sỹ</t>
  </si>
  <si>
    <t>huỳnh ngọc quang</t>
  </si>
  <si>
    <t>trần văn quang</t>
  </si>
  <si>
    <t>nguyễn hữu bình</t>
  </si>
  <si>
    <t>công ty cổ phần dược reiwa 68</t>
  </si>
  <si>
    <t>nguyễn thị anh đào</t>
  </si>
  <si>
    <t>lê việt hùng</t>
  </si>
  <si>
    <t>nguyễn thị hương</t>
  </si>
  <si>
    <t>nguyễn hải sâm</t>
  </si>
  <si>
    <t>công ty tnhh mtv việt thành - long an</t>
  </si>
  <si>
    <t>nguyễn tự quang</t>
  </si>
  <si>
    <t>đỗ văn thuần</t>
  </si>
  <si>
    <t>dương thanh giang</t>
  </si>
  <si>
    <t>nguyễn thị thảo nguyên</t>
  </si>
  <si>
    <t>công ty obayashi việt nam</t>
  </si>
  <si>
    <t>trương văn duẩn</t>
  </si>
  <si>
    <t>trần hồng ly</t>
  </si>
  <si>
    <t>đỗ tú anh thư</t>
  </si>
  <si>
    <t>đỗ hoàng nam</t>
  </si>
  <si>
    <t>trương thị thạch thảo</t>
  </si>
  <si>
    <t>trần thị hồng nhung</t>
  </si>
  <si>
    <t>đoàn minh phong</t>
  </si>
  <si>
    <t>nguyễn thị bích ngọc</t>
  </si>
  <si>
    <t>nguyễn phạm triệu vũ</t>
  </si>
  <si>
    <t>lê thị hạnh</t>
  </si>
  <si>
    <t>châu kiến hòa</t>
  </si>
  <si>
    <t>trần thị bình</t>
  </si>
  <si>
    <t>nguyễn thị thủy</t>
  </si>
  <si>
    <t>tạ anh tuấn</t>
  </si>
  <si>
    <t>công ty cp xd nghĩa trung</t>
  </si>
  <si>
    <t>huỳnh thị xuân</t>
  </si>
  <si>
    <t>trương anh minh</t>
  </si>
  <si>
    <t>nguyễn thành kiểu</t>
  </si>
  <si>
    <t>mai thái sơn</t>
  </si>
  <si>
    <t>nguyễn thị hiền</t>
  </si>
  <si>
    <t>đặng minh sơn</t>
  </si>
  <si>
    <t>đoàn thế vinh</t>
  </si>
  <si>
    <t>công ty tnhh căn hộ mt thảo điền</t>
  </si>
  <si>
    <t>nguyễn văn xuyên</t>
  </si>
  <si>
    <t>customer_ID</t>
  </si>
  <si>
    <t>customer_name</t>
  </si>
  <si>
    <t>KH329</t>
  </si>
  <si>
    <t>KH330</t>
  </si>
  <si>
    <t>KH331</t>
  </si>
  <si>
    <t>KH332</t>
  </si>
  <si>
    <t>KH333</t>
  </si>
  <si>
    <t>KH334</t>
  </si>
  <si>
    <t>KH335</t>
  </si>
  <si>
    <t>KH336</t>
  </si>
  <si>
    <t>KH337</t>
  </si>
  <si>
    <t>KH338</t>
  </si>
  <si>
    <t>KH339</t>
  </si>
  <si>
    <t>KH340</t>
  </si>
  <si>
    <t>KH341</t>
  </si>
  <si>
    <t>KH342</t>
  </si>
  <si>
    <t>KH343</t>
  </si>
  <si>
    <t>KH344</t>
  </si>
  <si>
    <t>KH345</t>
  </si>
  <si>
    <t>KH346</t>
  </si>
  <si>
    <t>KH347</t>
  </si>
  <si>
    <t>KH348</t>
  </si>
  <si>
    <t>KH349</t>
  </si>
  <si>
    <t>KH350</t>
  </si>
  <si>
    <t>KH351</t>
  </si>
  <si>
    <t>KH352</t>
  </si>
  <si>
    <t>KH353</t>
  </si>
  <si>
    <t>KH354</t>
  </si>
  <si>
    <t>KH355</t>
  </si>
  <si>
    <t>KH356</t>
  </si>
  <si>
    <t>KH357</t>
  </si>
  <si>
    <t>KH358</t>
  </si>
  <si>
    <t>KH359</t>
  </si>
  <si>
    <t>KH360</t>
  </si>
  <si>
    <t>KH361</t>
  </si>
  <si>
    <t>KH362</t>
  </si>
  <si>
    <t>KH363</t>
  </si>
  <si>
    <t>KH364</t>
  </si>
  <si>
    <t>KH365</t>
  </si>
  <si>
    <t>KH366</t>
  </si>
  <si>
    <t>KH367</t>
  </si>
  <si>
    <t>KH368</t>
  </si>
  <si>
    <t>KH369</t>
  </si>
  <si>
    <t>KH370</t>
  </si>
  <si>
    <t>KH371</t>
  </si>
  <si>
    <t>KH372</t>
  </si>
  <si>
    <t>KH373</t>
  </si>
  <si>
    <t>KH374</t>
  </si>
  <si>
    <t>KH375</t>
  </si>
  <si>
    <t>KH376</t>
  </si>
  <si>
    <t>KH377</t>
  </si>
  <si>
    <t>KH378</t>
  </si>
  <si>
    <t>KH379</t>
  </si>
  <si>
    <t>KH380</t>
  </si>
  <si>
    <t>KH381</t>
  </si>
  <si>
    <t>KH382</t>
  </si>
  <si>
    <t>KH383</t>
  </si>
  <si>
    <t>KH384</t>
  </si>
  <si>
    <t>KH385</t>
  </si>
  <si>
    <t>KH386</t>
  </si>
  <si>
    <t>KH387</t>
  </si>
  <si>
    <t>KH388</t>
  </si>
  <si>
    <t>KH389</t>
  </si>
  <si>
    <t>KH390</t>
  </si>
  <si>
    <t>KH391</t>
  </si>
  <si>
    <t>KH392</t>
  </si>
  <si>
    <t>KH393</t>
  </si>
  <si>
    <t>KH394</t>
  </si>
  <si>
    <t>KH395</t>
  </si>
  <si>
    <t>KH396</t>
  </si>
  <si>
    <t>KH397</t>
  </si>
  <si>
    <t>nguyen anh khoi</t>
  </si>
  <si>
    <t>KH398</t>
  </si>
  <si>
    <t>customer_phone</t>
  </si>
  <si>
    <t>D1001</t>
  </si>
  <si>
    <t>D3003</t>
  </si>
  <si>
    <t>D1002</t>
  </si>
  <si>
    <t>D1003</t>
  </si>
  <si>
    <t>D1004</t>
  </si>
  <si>
    <t>D2001</t>
  </si>
  <si>
    <t>D2002</t>
  </si>
  <si>
    <t>D2003</t>
  </si>
  <si>
    <t>D2004</t>
  </si>
  <si>
    <t>D2005</t>
  </si>
  <si>
    <t>D2006</t>
  </si>
  <si>
    <t>D2007</t>
  </si>
  <si>
    <t>D2008</t>
  </si>
  <si>
    <t>D2009</t>
  </si>
  <si>
    <t>D2010</t>
  </si>
  <si>
    <t>D2011</t>
  </si>
  <si>
    <t>D2012</t>
  </si>
  <si>
    <t>D2013</t>
  </si>
  <si>
    <t>D3001</t>
  </si>
  <si>
    <t>D3002</t>
  </si>
  <si>
    <t>D4001</t>
  </si>
  <si>
    <t>product_origin</t>
  </si>
  <si>
    <t>product_ID</t>
  </si>
  <si>
    <t>product_name</t>
  </si>
  <si>
    <t>Nhật Bản</t>
  </si>
  <si>
    <t>Trung Quốc</t>
  </si>
  <si>
    <t>Hàn Quốc</t>
  </si>
  <si>
    <t>Việt Nam</t>
  </si>
  <si>
    <t>Đức</t>
  </si>
  <si>
    <t>Thụy Sỹ</t>
  </si>
  <si>
    <t>project_address</t>
  </si>
  <si>
    <t>contract date</t>
  </si>
  <si>
    <t>contract_ID</t>
  </si>
  <si>
    <t>contract_duration</t>
  </si>
  <si>
    <t>net_price</t>
  </si>
  <si>
    <t>thửa 330, tbđ số 1, p. thạnh mỹ lợi, tp. thủ đức, tp. hcm</t>
  </si>
  <si>
    <t>căn hộ t21-1 vinhomes grand park, p. long thạnh mỹ, tp. thủ đức, tphcm</t>
  </si>
  <si>
    <t>thửa 407-408 bình thới, p.14, q.11, tphcm</t>
  </si>
  <si>
    <t>366 phan đình phùng, phường xuân hương - đà lạt, lâm đồng</t>
  </si>
  <si>
    <t>lô p-3, đường số 7, kcn long hậu mở rộng, x. long hậu, h. cần giuộc, long an (fp1)</t>
  </si>
  <si>
    <t>xã trung an, h. củ chi, tphcm</t>
  </si>
  <si>
    <t>thửa đất số 06, tbđ 81, p.tân mỹ, tphcm</t>
  </si>
  <si>
    <t>số 12 đường số 10, kp3, p. bình thuận, q.7, tp. hcm</t>
  </si>
  <si>
    <t>314 nguyễn thái sơn, p.4, q. gò vấp, tp. hcm</t>
  </si>
  <si>
    <t>301/16/10 vườn lài, p. an phú đông, q.12, tphcm</t>
  </si>
  <si>
    <t>kdc thửa 408, tờ 58/bđđc, p.bình thạnh, tphcm</t>
  </si>
  <si>
    <t>số 60 lê tự tài, p.4, q. phú nhuận, tp. hcm</t>
  </si>
  <si>
    <t>tòa nhà hội nghị - khối lâu đài lachateau pl1</t>
  </si>
  <si>
    <t>tòa nhà hội nghị - khối lâu đài lachateau pl2</t>
  </si>
  <si>
    <t>số 29 đường tân canh, p.tân sơn hòa, tphcm</t>
  </si>
  <si>
    <t>ấp 3, x. phước kiển, h. nhà bè, tp. hcm (thửa đất số 117, tbđ số 6 )</t>
  </si>
  <si>
    <t>541 đường nguyễn huệ, khóm 1, p.1, tp. sa đéc, đồng tháp</t>
  </si>
  <si>
    <t>363/2/17 bình lợi, p.bình lợi trung, tphcm</t>
  </si>
  <si>
    <t>số 35 đường số 7, p. bình trưng đông. q.2, tp. hcm</t>
  </si>
  <si>
    <t>kdc cityland park hills, số 18 phan văn trị, p.10, q. gò vấp, tphcm</t>
  </si>
  <si>
    <t>số 18, đường b2, phường an khánh, tphcm</t>
  </si>
  <si>
    <t>số 21 đường nguyễn tri phương, p. chánh nghĩa, tp. thủ dầu 1, bình dương</t>
  </si>
  <si>
    <t>số 66m, võ văn kiệt, phường 9, tp vĩnh long, tỉnh vĩnh long</t>
  </si>
  <si>
    <t>27/19 huỳnh tịnh của, p.xuân hòa, tphcm</t>
  </si>
  <si>
    <t>31/30/6 lê lai, p.3, q. gò vấp, tp. hcm (p1)</t>
  </si>
  <si>
    <t>31/30/8 lê lai, p.3, q. gò vấp, tp. hcm (p2)</t>
  </si>
  <si>
    <t>nhà số 6, ngõ 658 trương định, tổ 8, p. giáp bát, q. hoàng mai, hà nội</t>
  </si>
  <si>
    <t>số 5 hẻm 9 đường số 66, phường an khánh, tphcm</t>
  </si>
  <si>
    <t>nhà số 42, đường phạm ngọc thạch, p.9. tp. vũng tàu, bà rịa - vũng tàu</t>
  </si>
  <si>
    <t>113/79/1 trần văn đang, phường 11, quận 3, tphcm</t>
  </si>
  <si>
    <t>lô sth 23-02 đường số 3, kdt mới lê hồng phong ii, p.nam nha trang, khánh hòa</t>
  </si>
  <si>
    <t>88 đường b13 nguyễn hữu thọ, phước kiển, nhơn đức, nhà bè, tp. hcm</t>
  </si>
  <si>
    <t>815 lạc long quân, p.10, q. tân bình, tphcm</t>
  </si>
  <si>
    <t>đội 3, thôn phan xá, x. xuân thủy, h. lệ thủy, quảng bình</t>
  </si>
  <si>
    <t>189 nguyễn trọng tuyển, phường 8, quận phú nhuận, tphcm</t>
  </si>
  <si>
    <t>lô 50, 51 ktđc ngô gia khảm, p. trà bá, tp. plei ku, gia lai</t>
  </si>
  <si>
    <t>thửa 1088, tờ số 01, p. thạnh mỹ lợi, tp. thủ đức, tp. hcm</t>
  </si>
  <si>
    <t>451/7 tô hiến thành, p.14, q.10, tp. hcm</t>
  </si>
  <si>
    <t>311 phước thiện, phường long bình, quận 9, tphcm</t>
  </si>
  <si>
    <t>641/2/1 quang trung, p.11, q. gò vấp, tp. hcm</t>
  </si>
  <si>
    <t>195/9/1 tôn thất thuyết, phường 3, quận 4, tphcm</t>
  </si>
  <si>
    <t>32-34 đường 26, p. bình trị đông b, q. bình tân, tp. hcm</t>
  </si>
  <si>
    <t>133/60/25 bình thành, p. bình hưng hòa b, q. bình tân, tp. hcm</t>
  </si>
  <si>
    <t>357 kênh tân hóa, p. hòa thạnh, q. tân phú, tp. hcm</t>
  </si>
  <si>
    <t>98/39 cống lỡ, p.15, q. tân bình, tp.hcm</t>
  </si>
  <si>
    <t>evn hòa bình, p. tân thịnh, tp. hòa bình, hòa bình</t>
  </si>
  <si>
    <t>190/2 trần quốc tuấn, p.4, tp. bến tre, bến tre</t>
  </si>
  <si>
    <t>thửa 584, tbđ số 43, p. an lạc a, q. bình tân, tp. hcm (p1)</t>
  </si>
  <si>
    <t>thửa 584, tbđ số 43, p. an lạc a, q. bình tân, tp. hcm (p2)</t>
  </si>
  <si>
    <t>lô i8 kdc thới an, p. thới an, q.12, tp. hcm</t>
  </si>
  <si>
    <t>506 phan văn trị, p.7, q.5, tp. hcm</t>
  </si>
  <si>
    <t>611/7 lê quang định, p.1, q. gò vấp, tp. hcm</t>
  </si>
  <si>
    <t>thửa 322, tờ 17, suối hội phú, p. hội thương, tp. pleiku, gia lai</t>
  </si>
  <si>
    <t>căn d-lk.56-21 t&amp;t, long hậu, h cần giuộc, long an</t>
  </si>
  <si>
    <t>256 ba đình, p.10, q.8, tp. hcm</t>
  </si>
  <si>
    <t>105/35 lê sát, p. tân quý, q. tân phú, tp. hcm</t>
  </si>
  <si>
    <t>chùa pháp hoa, 16 chu văn an, phường nghĩa thành, gia nghĩa, đắk nông</t>
  </si>
  <si>
    <t>nhà c41 kdc caric, p. bình an, tp. thủ đức, tp. hcm</t>
  </si>
  <si>
    <t>m4 đường thất sơn, cư xá bắc hải, quận 10, tphcm</t>
  </si>
  <si>
    <t>số nhà 209 khổng tử, p. xuân trung, tp. long khánh, đồng nai</t>
  </si>
  <si>
    <t>381/11 lê văn quới, p. bình trị đông a, q. bình tân, tphcm</t>
  </si>
  <si>
    <t>11b-12b hùng vương, p. xuân trung, tp. long khánh, đồng nai</t>
  </si>
  <si>
    <t>165 lê niệm, p. phú thạnh, q. tân phú, tphcm</t>
  </si>
  <si>
    <t>nhà máy giấy đồng tiến, lô a216-a217-a218, đường số 2, kcn thái hòa, ấp tân hòa, x. đức lập hạ, h. đức hòa, long an</t>
  </si>
  <si>
    <t>thửa đất số 3, tờ bản đồ 20, p9, q.phú nhuận, tphcm</t>
  </si>
  <si>
    <t>số 7, nguyễn văn đậu, phường 5, quận phú nhuận, tphcm</t>
  </si>
  <si>
    <t>dự án p&amp;g 02, vsip ii-a, đường tân hiệp 17, p. vĩnh tân, q. tân uyên, bình dương</t>
  </si>
  <si>
    <t>90 ql57, tt. thạnh phú, thạnh phú, bến tre</t>
  </si>
  <si>
    <t>hội dòng mến thánh giá gò vấp, 523a đường lê đức thọ, p.16, q. gò vấp, tp. hcm</t>
  </si>
  <si>
    <t>số 40 đường cửu long, p.tân bình, tphcm</t>
  </si>
  <si>
    <t>nhà số 5 đường số 86, p.10, q.6, tp. hcm</t>
  </si>
  <si>
    <t>200/19 bình lợi, p.13, q. bình thạnh, tphcm</t>
  </si>
  <si>
    <t>biệt thự r75 dự án grand bay hạ long villas - lagoon residences, quảg ninh, việt nam</t>
  </si>
  <si>
    <t>26 đường số 1, p. phú mỹ, q.7, tp.hcm</t>
  </si>
  <si>
    <t>số l03 khu nhà ở phú hữu, tp. thủ đức, tp. hcm</t>
  </si>
  <si>
    <t>553/2/14 lũy bán bích, p.phú thạnh, q.tân phú,tphcm</t>
  </si>
  <si>
    <t>50 đường số 9, p.16, q. gò vấp, tp. hcm (hđ thanh lý)</t>
  </si>
  <si>
    <t>77/7 đường phan đình phùng, p. quang vinh, biên hòa, đồng nai</t>
  </si>
  <si>
    <t>64-2 cù lao, phường 2, quận phú nhuận, tphcm</t>
  </si>
  <si>
    <t>38 đường số 2, kp2, p. bình chiểu, tp. thủ đức, tp. hcm</t>
  </si>
  <si>
    <t>lk7-47, p. bình trưng tây, tp thủ đức, tphcm</t>
  </si>
  <si>
    <t>b2-11-05 phú gia, đường 38-cl, p. cát lái, tp. thủ đức, tp. hcm</t>
  </si>
  <si>
    <t>8/19b hẻm 2, đường huỳnh tấn phát, kp. hiệp lễ, p. hiệp ninh, tp. tây ninh</t>
  </si>
  <si>
    <t>158a võ thị sáu, phường 8, quận 3, tphcm</t>
  </si>
  <si>
    <t>575 nguyễn trãi, phường 07, quận 05, tphcm</t>
  </si>
  <si>
    <t>nhà số 5, khu biệt thự 816, đường nguyễn duy trinh, p. phú hữu, tp. thủ đức, tp. hcm</t>
  </si>
  <si>
    <t>02 nguyễn tri phương, phường phú nhuận, quận thuận hóa, thành phố huế pl1</t>
  </si>
  <si>
    <t>02 nguyễn tri phương, phường phú nhuận, quận thuận hóa, thành phố huế pl2</t>
  </si>
  <si>
    <t>02 nguyễn tri phương, phường phú nhuận, quận thuận hóa, thành phố huế pl3</t>
  </si>
  <si>
    <t>khu đất thuộc ô 20, lô bt-01, kdc bình trưng tây, quận 2, tphcm</t>
  </si>
  <si>
    <t>16 đường số 3, kdc khang an, quận 9, tphcm</t>
  </si>
  <si>
    <t>1181,14,16 lê văn lương, phước kiển, nhà bè, tphcm</t>
  </si>
  <si>
    <t>61b nguyễn văn đậu, p.5, q.bình thạnh, tphcm</t>
  </si>
  <si>
    <t>lô j35, kdc himlam, p.tân hưng, q.7, tphcm</t>
  </si>
  <si>
    <t>c26, dự án kđt mới tây sông hậu, long xuyên, an giang</t>
  </si>
  <si>
    <t>4/1 bàu bàng, phường tân bình, tp.hcm</t>
  </si>
  <si>
    <t>số 10 đường 37, p.bình trưng, tphcm</t>
  </si>
  <si>
    <t>457/19 hòa hảo, p.5, q.10, tp. hcm</t>
  </si>
  <si>
    <t>7/1 phạm thái bường, vĩnh long, tp vĩnh long</t>
  </si>
  <si>
    <t>53 đường an phú, phường an khánh, tphcm</t>
  </si>
  <si>
    <t>104 nguyễn tiểu la, p.8, q.10, tp. hcm</t>
  </si>
  <si>
    <t>thửa đất số 858 tờ bản đồ số 40, phường 15, quận gò vấp, tphcm</t>
  </si>
  <si>
    <t>112 đường số 10, kdc vạn phúc, p. hiệp bình phước, tp. thủ đức, tp. hcm</t>
  </si>
  <si>
    <t>37 đường số 3, phường an khánh, tp thủ đức, tphcm pl1</t>
  </si>
  <si>
    <t>37 đường số 3, phường an khánh, tp thủ đức, tphcm pl2</t>
  </si>
  <si>
    <t>thửa 655, tbđ số 45, p. bình trưng tây, tp. thủ đức, tphcm</t>
  </si>
  <si>
    <t>căn c04 an phú new city</t>
  </si>
  <si>
    <t>số 26 đường bùi văn hòa, p. long bình, tp. biên hòa, đồng nai</t>
  </si>
  <si>
    <t>184 bùi đình túy, p.12, q. bình thạnh, tp. hcm</t>
  </si>
  <si>
    <t>ct 472 đường hậu giang, phường 11, quận 6, tphcm</t>
  </si>
  <si>
    <t>số 89/1, đường phạm hồng thái, tp. đà lạt, lâm đồng</t>
  </si>
  <si>
    <t>46e đường cây keo, phường tam phú, thủ đức, tphcm</t>
  </si>
  <si>
    <t>căn vic26, vinhomes ba son, q.1, tp. hcm</t>
  </si>
  <si>
    <t>425/16 đường tân sơn, phường an hội tây, tphcm</t>
  </si>
  <si>
    <t>29-10 đường số 5 p. bình trưng tphcm</t>
  </si>
  <si>
    <t>29/1 tân qúy, p. tân qúy, q. tân phú, tp. hcm</t>
  </si>
  <si>
    <t>144 đường 5, khu đô thị lakeview city thủ đức tphcm</t>
  </si>
  <si>
    <t>dự án khách sạn an sơn, đường an sơn, p.4, tp. đà lạt, lâm đồng (p1)</t>
  </si>
  <si>
    <t>dự án khách sạn an sơn, đường an sơn, p.4, tp. đà lạt, lâm đồng (p2)</t>
  </si>
  <si>
    <t>nhà số 31, khu biệt thự 816, đường nguyễn duy trinh, phường phú hữu, tp thủ đức, tphcm</t>
  </si>
  <si>
    <t>lô 23-8b1, đường số 7, đại lộ calmette, kcn quốc tế protrade, p. an tây, tp. bến cát, bình dương</t>
  </si>
  <si>
    <t>căn vic61, vinhomes ba son, p. bến nghé, q.1, tp. hcm</t>
  </si>
  <si>
    <t>số 22 đường văn chung, phường tân bình, tphcm</t>
  </si>
  <si>
    <t>4c-4d, đường số 13b, p. bình trị đông b, q. bình tân, tp. hcm</t>
  </si>
  <si>
    <t>688/49h hương lộ 2, p bình trị đông a, quận bình tân, tphcm</t>
  </si>
  <si>
    <t>biệt thự d13 đồi ngọc tước, p.8, tp. vũng tàu, bà rịa - vũng tàu</t>
  </si>
  <si>
    <t>36-33 phan bá vành, phường cát lái, tphcm</t>
  </si>
  <si>
    <t>48 đường số 5, kdc him lam, phường tân hưng, quận 7, tphcm</t>
  </si>
  <si>
    <t>nhà máy gn foods-gn1 (khu family), p.02b đường trung tâm, kcn long hậu mở rộng, h. cần giuộc, long an</t>
  </si>
  <si>
    <t>số 189 đường số 3, phường an lạc, tphcm</t>
  </si>
  <si>
    <t>số 496/52/12c đường dương quảng hàm, p.6, q. gò vấp, tp. hcm</t>
  </si>
  <si>
    <t>số 496/52/12b đường dương quảng hàm, p.6, q. gò vấp, tp. hcm</t>
  </si>
  <si>
    <t>số 1230 đường lạc long quân, phường tân hòa, tphcm</t>
  </si>
  <si>
    <t>559-561 hoàng văn thụ, p.4, q. tân bình, tp. hcm</t>
  </si>
  <si>
    <t>lô s61, đường phan bá vành, phường cát lái, tp.hcm</t>
  </si>
  <si>
    <t>căn a2-01 saigon pearl, nguyễn hữu cảnh, p.22, q. bình thạnh, tp. hcm</t>
  </si>
  <si>
    <t>căn k15, kdc villa park, bưng ông thoàn, p.long trường, tphcm</t>
  </si>
  <si>
    <t>số 19 đường 1b, melosa garden khang điền, tphcm</t>
  </si>
  <si>
    <t>322d xô viết nghệ tĩnh, p.bình thạnh, tphcm (nội bộ)</t>
  </si>
  <si>
    <t>925/4b âu cơ, p.tân sơn nhì, tphcm</t>
  </si>
  <si>
    <t>số 76 trường sa, phường gia định, tphcm</t>
  </si>
  <si>
    <t>nhà số 33, khu biệt thự 816, đường nguyễn duy trinh, p.long trường, tp.thủ đức,tphcm (nội bộ)</t>
  </si>
  <si>
    <t>số 47-42-43 bình đình túy, p.bình thạnh, tphcm</t>
  </si>
  <si>
    <t>shophouse tại số 56 nguyễn cơ thạch, p.an khánh, tphcm</t>
  </si>
  <si>
    <t>15/2 và 15/4 tân canh, p.tân bình, tphcm</t>
  </si>
  <si>
    <t>số 7 đường 25a, p.10, q.6, tp. hcm</t>
  </si>
  <si>
    <t>118/40 huỳnh thiện lộc, p. hòa thạnh, q. tân phú, tphcm</t>
  </si>
  <si>
    <t>thửa đất số 493, tờ bản đồ 153, khu phố bình cư 2, phường long an, tỉnh tây ninh</t>
  </si>
  <si>
    <t>544/13 lạc long quân, p.5, q.11, tp. hcm</t>
  </si>
  <si>
    <t>thửa đất số 591, tbđ số 63, p. thạnh xuân, q.12, tphcm</t>
  </si>
  <si>
    <t>số 51 trần văn quang, p.10, q. tân bình, tp. hcm</t>
  </si>
  <si>
    <t>lô n-09, tk 2, kdc bình trị đông, quận bình tân, tphcm</t>
  </si>
  <si>
    <t>40 nguyễn trực, kđt k1, p. thanh sơn, tp. phan rang - tháp chàm, ninh thuận</t>
  </si>
  <si>
    <t>73 cao văn ngọc, p. phú trung, q. tân phú, tphcm</t>
  </si>
  <si>
    <t>số 11 lương khải siêu, p. bình thọ, tp. thủ đức, tp. hcm</t>
  </si>
  <si>
    <t>54/30/20 bạch đằng, p.2, q. tân bình, tphcm</t>
  </si>
  <si>
    <t>52/4 đường đx 70, tp. thủ dầu một, bình dương</t>
  </si>
  <si>
    <t>2/12-ấp 01, phường thạnh lộc, quận 12, tphcm</t>
  </si>
  <si>
    <t>thửa đất số 761, tbđ số 71, p. an phú, tp. thủ đức, tp.hcm</t>
  </si>
  <si>
    <t>199/30d lê quang định, phường 07, bình thạnh, tphcm</t>
  </si>
  <si>
    <t>38/39 chế lan viên, p. tây thạnh, q. tân phú, tp. hcm</t>
  </si>
  <si>
    <t>118/70 huỳnh thiên lộc, phường hòa thạnh, quận tân phú, tphcm</t>
  </si>
  <si>
    <t>112/6 phạm văn bạch, p.15, q. tân bình, tp. hcm</t>
  </si>
  <si>
    <t>thôn vĩnh hy, xã vĩnh hải. huyện ninh hải, tỉnh ninh thuận</t>
  </si>
  <si>
    <t>số 12 đường biệt chính, phường rạch dừa, tphcm</t>
  </si>
  <si>
    <t>86/6 bàu cát 2, phường 12, quận tân bình, tphcm</t>
  </si>
  <si>
    <t>35 đường 10, liên phường, p. phú hữu, tp. thủ đức, tp. hcm</t>
  </si>
  <si>
    <t>thửa đất số 602, tờ bản đồ số 10, 26t, ấp 3, xã đông thạnh, huyện hóc môn, tphcm</t>
  </si>
  <si>
    <t>52a đường 138, phường tân phú, quận 9, tphcm</t>
  </si>
  <si>
    <t>30 đường 16, phường an phú, tp thủ đức, tphcm</t>
  </si>
  <si>
    <t>277/11 xô viết nghệ tĩnh, phường gia định, quận bình thạnh</t>
  </si>
  <si>
    <t>căn h3-07, kdc vạn phúc, tphcm</t>
  </si>
  <si>
    <t>67l võ văn kiệt, phường long châu, tỉnh vĩnh long</t>
  </si>
  <si>
    <t>thửa 413 tờ số 292/bđđc, p.bình thạnh tphcm</t>
  </si>
  <si>
    <t>thửa 414 tờ số 292/bđđc, p.bình thạnh tphcm</t>
  </si>
  <si>
    <t>125 lê hiến mai, thạnh mỹ lợi, tp thủ đức</t>
  </si>
  <si>
    <t>thửa 769 tờ bản đồ số 19, p.thạnh mỹ lợi tphcm</t>
  </si>
  <si>
    <t>tổ 2, kp. ba đình, p. thái hòa, tp. tân uyên, bình dương</t>
  </si>
  <si>
    <t>145 hiệp thành 06, p. hiệp thành, q.12, tphcm</t>
  </si>
  <si>
    <t>27/d/1 nguyễn văn nguyễn, p.tân định, tphcm</t>
  </si>
  <si>
    <t>23 khuông việt, tân phú, hcm p1</t>
  </si>
  <si>
    <t>23 khuông việt, tân phú, hcm p2</t>
  </si>
  <si>
    <t>23 khuông việt, tân phú, hcm p3</t>
  </si>
  <si>
    <t>23 khuông việt, tân phú, hcm p4</t>
  </si>
  <si>
    <t>lô tt08-6, dự án long thành, tphcm</t>
  </si>
  <si>
    <t>thửa 608, tờ bản đồ 93, phường long bình, tp. thủ đức</t>
  </si>
  <si>
    <t>355/10 kênh tân hóa, quận tân phú, tphcm</t>
  </si>
  <si>
    <t>156 đường h7, kdt water point, bến lức, long an</t>
  </si>
  <si>
    <t>61a, đường số 20, phường bình hưng hòa, tphcm</t>
  </si>
  <si>
    <t>160/6 nguyễn hữu dật, phường tây thạnh, tphcm</t>
  </si>
  <si>
    <t>khu công nghiệp thăng long 2, tỉnh hưng yên (p1)</t>
  </si>
  <si>
    <t>khu công nghiệp thăng long 2, tỉnh hưng yên (p2)</t>
  </si>
  <si>
    <t>khu công nghiệp thăng long 2, tỉnh hưng yên (p3)</t>
  </si>
  <si>
    <t>khu công nghiệp thăng long 2, tỉnh hưng yên (p4)</t>
  </si>
  <si>
    <t>khu công nghiệp thăng long 2, tỉnh hưng yên (p5)</t>
  </si>
  <si>
    <t>khu công nghiệp thăng long 2, tỉnh hưng yên (p6)</t>
  </si>
  <si>
    <t>khu công nghiệp thăng long 2, tỉnh hưng yên (p7)</t>
  </si>
  <si>
    <t>khu công nghiệp thăng long 2, tỉnh hưng yên (p8)</t>
  </si>
  <si>
    <t>khu công nghiệp thăng long 2, tỉnh hưng yên (p9)</t>
  </si>
  <si>
    <t>khu công nghiệp thăng long 2, tỉnh hưng yên (p10)</t>
  </si>
  <si>
    <t>khu công nghiệp thăng long 2, tỉnh hưng yên (p11)</t>
  </si>
  <si>
    <t>28/13 trần thiện chánh, p.hòa hưng, tphcm</t>
  </si>
  <si>
    <t>lô d-1b, đường d5, kcn hựu thạnh, xã đức hòa, tỉnh tây ninh</t>
  </si>
  <si>
    <t>số 86/133 ông ích khiêm, p.hòa bình, tphcm</t>
  </si>
  <si>
    <t>villa v7.10 glen celadon</t>
  </si>
  <si>
    <t>261 tân phước, phường minh phụng, tphcm</t>
  </si>
  <si>
    <t>số 8 đường số 8, kdc phú mỹ hưng</t>
  </si>
  <si>
    <t>chung cư thương mại trần anh, ấp mới 2, xã mỹ hạnh, tây ninh (p1)</t>
  </si>
  <si>
    <t>chung cư thương mại trần anh, ấp mới 2, xã mỹ hạnh, tây ninh (p2)</t>
  </si>
  <si>
    <t>chung cư thương mại trần anh, ấp mới 2, xã mỹ hạnh, tây ninh (p3)</t>
  </si>
  <si>
    <t>chung cư thương mại trần anh, ấp mới 2, xã mỹ hạnh, tây ninh (p4)</t>
  </si>
  <si>
    <t>số t21-26, manhattan glory, số 88 đường phước thiện, phường long bình, tphcm</t>
  </si>
  <si>
    <t>tổ 6, khu 3 thị trấn tân phú , huyện tân phú tỉnh đồng nai</t>
  </si>
  <si>
    <t>số 666/14/10 đường ba tháng hai, phường diên hồng, tphcm</t>
  </si>
  <si>
    <t>ấp bình hiệp a, xã bình thạnh trung, huyện lấp vò, tình đồng tháp</t>
  </si>
  <si>
    <t>thửa đất 903, tbđ 238, p.thủ dầu một, tphcm</t>
  </si>
  <si>
    <t>số 5, đường 11, phường an phú, tp.thủ đức</t>
  </si>
  <si>
    <t>19e/2 bến bình đông, phường phú dinh, tphcm</t>
  </si>
  <si>
    <t>29 đường 11, kdc phú xuân vạn hưng phú, xã nhà bè, tphcm</t>
  </si>
  <si>
    <t>e13 lucasta, 503 liên phường, p.long trường, tphcm</t>
  </si>
  <si>
    <t>số 88 lý tự trọng, p. lê lợi, tp. quy nhơn, bình định</t>
  </si>
  <si>
    <t>số 74 thạch lam, phường phước mỹ, quận sơn trà, tp.đà nẵng</t>
  </si>
  <si>
    <t>tđ số 34, tbđ số 4, 65 phan văn định, p. liên chiểu, tp.đà nẵng</t>
  </si>
  <si>
    <t>phòng khám pandora, 1/1 trường chinh, p. tây thạnh, q. tân phú, tp. hcm</t>
  </si>
  <si>
    <t>thửa 418, tbđ số 8, p.25, q. bình thạnh, tphcm</t>
  </si>
  <si>
    <t>số 77a/1 đường trần văn dư, p. mỹ an, q. ngũ hành sơn, tp. đà nẵng</t>
  </si>
  <si>
    <t>193 lê ấ, phường hòa xuân, tp. đà nẵng</t>
  </si>
  <si>
    <t>tđs 40,41 b1 kdc phía đông khu số 4, khu đô thị mới nam cầu tuyên sơn, p.ngũ hành sơn, tp.đà nẵng</t>
  </si>
  <si>
    <t>kho lạnh itl vsip, lô 26 đường số 3, kcn vsip, thuận an, bình dương. (fp1)</t>
  </si>
  <si>
    <t>kho lạnh itl vsip, lô 26 đường số 3, kcn vsip, thuận an, bình dương. (fp2)</t>
  </si>
  <si>
    <t>số 115 nguyễn minh hoàng, p.12, q. tân bình, tphcm</t>
  </si>
  <si>
    <t>ô 19-b1.133 khu đtst ven sông hòa xuân, p.hoà xuân, tp.đà nẵng</t>
  </si>
  <si>
    <t>kdc an cư 2, p.an hải, tp.đà nẵng</t>
  </si>
  <si>
    <t>số 8 đường số 7, kdc vạn hưng phát, q.7, tp. hcm</t>
  </si>
  <si>
    <t>số 115/1/60c nguyên hồng, p.1, q. gò vấp, tphcm</t>
  </si>
  <si>
    <t>rally villa, số 133 đường thạnh lộc 19, p. thạnh lộc, q.12, tp. hcm</t>
  </si>
  <si>
    <t>số 132 phan đình phùng, q. phú nhuận, tp. hcm</t>
  </si>
  <si>
    <t>số 765a đường nguyễn ảnh thủ, p. trung mỹ tây, q.12, tp. hcm</t>
  </si>
  <si>
    <t>số 6, đường số 3, phường an khánh, tp thủ đức, tphcm</t>
  </si>
  <si>
    <t>thửa đất số 2309, tbđ số 100, kp nhị đồng 2, p. dĩ an, tp. dĩ an, bình dương</t>
  </si>
  <si>
    <t>số 116 đồng nai, phước hải, tp nha trang, khánh hòa</t>
  </si>
  <si>
    <t>số 88 nguyễn thị thập (kđt him lam), q.7, tp. hcm</t>
  </si>
  <si>
    <t>số 1328 quang trung, quận gò vấp, tphcm</t>
  </si>
  <si>
    <t>số 43 nơ trang long, p.7, q. bình thạnh, tp. hcm</t>
  </si>
  <si>
    <t>số 553/22 lũy bán bích, phường phú thạnh, quận tân phú, tphcm</t>
  </si>
  <si>
    <t>nha khoa trần gia, số 56-58 trần đại nghĩa, p. tân tạo a, q. bình tân, tp. hcm</t>
  </si>
  <si>
    <t>số 49/12 huỳnh mẫn đạt, p. 19, quận bình thạnh, tphcm</t>
  </si>
  <si>
    <t>khách sạn kim hòa, số 18a nguyễn chí thanh, p.1, tp. đà lạt, lâm đồng</t>
  </si>
  <si>
    <t>số 52/1 cù lao, phường 2, quận phú nhuận, tphcm</t>
  </si>
  <si>
    <t>thửa 38-4, tbđ 2a, p. tân thới nhất, q.12, tp. hcm</t>
  </si>
  <si>
    <t>ks 4.2 - 26 khu bãi dài, gành dầu, phú quốc, kiên giang</t>
  </si>
  <si>
    <t>số 30/30 vũ duy ninh, p.22, q. bình thạnh, tp. hcm</t>
  </si>
  <si>
    <t>số 842/1/92 và số 842/1/94 nguyễn kiệm, p.3, q. gò vấp, tp. hcm</t>
  </si>
  <si>
    <t>484/3a tân kỳ tân qúy, tây thạnh</t>
  </si>
  <si>
    <t>số 17 nguyễn bá huân, p. thảo điền, tp. thủ đức, tp. hcm</t>
  </si>
  <si>
    <t>số 83 teur trần quang khải, p.tân định, tphcm</t>
  </si>
  <si>
    <t>số 37 đường số 7, kdc bình đăng, p.6, q.8, tp. hcm</t>
  </si>
  <si>
    <t>số 15 đặng đức thuật, mỹ kim 1, p. tân phong, q.7, tp. hcm</t>
  </si>
  <si>
    <t>lô r23 kdc thủ thiêm villa, đường số 92, kp2, p. thạnh mỹ lợi, tp. thủ đức, tp. hcm</t>
  </si>
  <si>
    <t>số 115 đường số 5, kbt lavila, xã phước kiển, tphcm</t>
  </si>
  <si>
    <t>căn 01, new city, số 09 nguyễn hoàng, p. an phú, tp. thủ đức, tp. hcm</t>
  </si>
  <si>
    <t>89 đường 37, p. tân quy, q.7, tphcm</t>
  </si>
  <si>
    <t>290/30/1 nơ trang long, p.12, q. bình thạnh, tp. hcm</t>
  </si>
  <si>
    <t>24 đường d1, bát nàn, sài gòn mystery, tp. thủ đức, tphcm</t>
  </si>
  <si>
    <t>200/4/20 nguyễn văn hưởng, p. thảo điền, tp. thủ đức, tp. hcm</t>
  </si>
  <si>
    <t>d46 đường số 90, thạnh mỹ lợi, thủ thiêm villa, tp thủ đức</t>
  </si>
  <si>
    <t>73a đường tiền lân 9, ấp tiền lân, x. bà điểm, hóc môn, tp. hcm</t>
  </si>
  <si>
    <t>số 21c gò dầu, quận tân phú, tphcm</t>
  </si>
  <si>
    <t>88/30 đào duy anh, p.9, q. phú nhuận, tp. hcm</t>
  </si>
  <si>
    <t>460 tân sơn nhì, tân phú, tphcm</t>
  </si>
  <si>
    <t>1203 đồng khởi, kp.11, p. tân phong, tp. biên hòa, đồng nai</t>
  </si>
  <si>
    <t>đường nguyễn du, xã măng đen, tỉnh quãng ngãi</t>
  </si>
  <si>
    <t>29, đường 1b, phường phú mỹ, tphcm</t>
  </si>
  <si>
    <t>16 đường lê hồng phong, tt. mỹ an, h. tháp mười, đồng tháp</t>
  </si>
  <si>
    <t>1041/105 trần xuân soạn, phường tân hưng, quận 7, tphcm</t>
  </si>
  <si>
    <t>139d nguyễn ái quốc, p. hóa an, tp. biên hòa, đồng nai</t>
  </si>
  <si>
    <t>số 6 đường 13, phường tân thuận tây, tphcm</t>
  </si>
  <si>
    <t>số 113 đường 16, phường an lạc, tphcm</t>
  </si>
  <si>
    <t>thửa 617, tờ bản đồ 20, phường tăng nhơn phú, tphcm</t>
  </si>
  <si>
    <t>số 145 đường trường chinh, phường ninh chữ, khánh hòa</t>
  </si>
  <si>
    <t>198/5 trương đình hội, p.phú định, tphcm</t>
  </si>
  <si>
    <t>số 14 đường 10, phường an khánh, tphcm</t>
  </si>
  <si>
    <t>thửa đất 613, tờ bản đồ 21, phường bình trưng, tphcm</t>
  </si>
  <si>
    <t>51 lê thị riêng, phường bến thành (q.1), tphcm (q.1 trước đây)</t>
  </si>
  <si>
    <t>142/8a xô viết nghệ tĩnh, p.bình thạnh, tphcm</t>
  </si>
  <si>
    <t>227 tây thạnh, phường tây thạnh, tphcm</t>
  </si>
  <si>
    <t>232.28 lý thường kiệt, phường diên hồng, tphcm</t>
  </si>
  <si>
    <t>79-81 đường số 21b, p. bình trị đông b, q. bình tân, tp. hcm</t>
  </si>
  <si>
    <t>26/1 lam sơn, p.gia định, tphcm</t>
  </si>
  <si>
    <t>249/40 vườn lài, phú thọ hòa, tphcm</t>
  </si>
  <si>
    <t>57 nguyễn bá tuyển, p.12, q. tân bình, tp. hcm</t>
  </si>
  <si>
    <t>18 nguyễn trường tộ, khu phố 10, tân biên, đồng nai (p1)</t>
  </si>
  <si>
    <t>18 nguyễn trường tộ, khu phố 10, tân biên, đồng nai (p2)</t>
  </si>
  <si>
    <t>50/4/23 đường quang trung, p.10, q. gò vấp, tp. hcm</t>
  </si>
  <si>
    <t>314/2g điện biên phủ, p.11, q.10, tp. hcm</t>
  </si>
  <si>
    <t>lô d8 đường d1, p. bửu long, tp. biên hòa, đồng nai</t>
  </si>
  <si>
    <t>730/13/17 lạc long quân, phường tân bình, tphcm</t>
  </si>
  <si>
    <t>ct khối nghiệp vụ quản lý - hiệu bộ, 40 phạm hùng, p. tân an, tp. buôn ma thuột, đắk lắk</t>
  </si>
  <si>
    <t>b2-11-12 kdc cát lái, p.cát lái, thủ đức, tphcm</t>
  </si>
  <si>
    <t>793-28-1-18a trần xuân soạn, phường tân hưng, tphcm</t>
  </si>
  <si>
    <t>50/30/15 dương quảng hàm, p.5, q. gò vấp, tp. hcm</t>
  </si>
  <si>
    <t>96 đường 36, kdc vạn phúc, tp. thủ đức, tphcm</t>
  </si>
  <si>
    <t>137/34c gò dầu, p. tân qúy, q. tân phú, tp. hcm</t>
  </si>
  <si>
    <t>2e-th10 đường số 9, p. thảo điền, tp. thủ đức, tp. hcm</t>
  </si>
  <si>
    <t>730/17 huỳnh tấn phát, quận 7, tphcm</t>
  </si>
  <si>
    <t>212/21/11 nguyễn thiện thuật, p.3, q.3, tp. hcm</t>
  </si>
  <si>
    <t>633/27/8a hồng bàng, phường 2, quận 6, tphcm</t>
  </si>
  <si>
    <t>135 đường số 5, lake view city, p. an phú, tp. thủ đức, tp. hcm</t>
  </si>
  <si>
    <t>17 vạn hạnh, phường tân sơn nhì, tphcm</t>
  </si>
  <si>
    <t>690/10 đường 3/2, p.14, q.10, tp. hcm</t>
  </si>
  <si>
    <t>79 trung mỹ tây 03, p.trung mỹ tây,quận 12,tphcm</t>
  </si>
  <si>
    <t>số 36 đường 9a, p. an phú, tp. thủ đức, tphcm</t>
  </si>
  <si>
    <t>h62 tân thới nhất 15 phường tân thới nhất tphcm</t>
  </si>
  <si>
    <t>nền r21 - kđt thủ thiêm villa, p. cát lái, tphcm</t>
  </si>
  <si>
    <t>404 đường cách mạng tháng tám, kp3, p.3, tp. tây ninh, tây ninh</t>
  </si>
  <si>
    <t>108/27 cộng hòa, p.4, q. tân bình, tp. hcm</t>
  </si>
  <si>
    <t>486 nguyễn văn linh, p. tân phú, q.7, tp. hcm (thanh lý hd)</t>
  </si>
  <si>
    <t>36 hoa đào, p.2, q. phú nhuận, tp.hcm</t>
  </si>
  <si>
    <t>lô đất số b60* và b61*, x. bình hưng, h. bình chánh, tp. hcm (p1)</t>
  </si>
  <si>
    <t>lô đất số b60* và b61*, x. bình hưng, h. bình chánh, tp. hcm (p2)</t>
  </si>
  <si>
    <t>bệnh viện quận tân bình, 605 hoàng văn thụ, p.4, q. tân bình, tp. hcm</t>
  </si>
  <si>
    <t>139-141 đường 45, p. tân quy, q.7, tp. hcm</t>
  </si>
  <si>
    <t>25 trần qúy kiên, p. thạnh mỹ lợi, tp. thủ đức, tp. hcm</t>
  </si>
  <si>
    <t>290-292 hùng vương, x. đạo thạnh, tp. mỹ tho, tiền giang</t>
  </si>
  <si>
    <t>thửa 403, tbđ 37, p. thới an, q.12, tp. hcm</t>
  </si>
  <si>
    <t>số 9/2 tổ 19, kp3, p. tân phú, q.7, tp. hcm</t>
  </si>
  <si>
    <t>mái ấm thiên thần, thôn đông hải, tx. phú mỹ, bà rịa - vũng tàu</t>
  </si>
  <si>
    <t>47 châu vĩnh tế, p.12, q. tân bình, tp. hcm</t>
  </si>
  <si>
    <t>số nhà 55 ngõ 168, ngách 97, tổ 30, p. đại kim, q. hoàng mai, hà nội</t>
  </si>
  <si>
    <t>2a/2 đường 79, p. tân quy, q.7, tp. hcm</t>
  </si>
  <si>
    <t>lô i.1 đường số 1, cụm công nghiệp lợi bình nhơn, x. lợi bình nhơn, tp. tân an, long an</t>
  </si>
  <si>
    <t>264 nguyễn xí, p.13, q. bình thạnh, tphcm</t>
  </si>
  <si>
    <t>số 18 đường lâm văn bền, kp4, p. tân kiểng, q.7, tp. hcm</t>
  </si>
  <si>
    <t>17 đường 52, p. thạnh mỹ lợi, tp. thủ đức, tphcm</t>
  </si>
  <si>
    <t>32 đường số 2, p. phú mỹ, q.7, tphcm</t>
  </si>
  <si>
    <t>99/9 phan anh, p. bình trị đông, q. bình tân, tp. hcm</t>
  </si>
  <si>
    <t>42 châu vĩnh tế, phường 12, quận tân bình, tphcm</t>
  </si>
  <si>
    <t>nhà số 3, đường số 4, p. an khánh, tp. thủ đức, tp. hcm</t>
  </si>
  <si>
    <t>96 đường số 16 cư xá lữ gia, p.15, q.11, tp. hcm</t>
  </si>
  <si>
    <t>thửa 829-783, tbđ 05, xã bình hưng, bình chánh, tphcm</t>
  </si>
  <si>
    <t>106/9 đường bình lợi, p.13, q. bình thạnh, tp. hcm</t>
  </si>
  <si>
    <t>d58 đường số 1, phường phú mỹ, quận 7, tphcm</t>
  </si>
  <si>
    <t>100 trần quốc thảo, p. võ thị sáu, q.3, tp. hcm</t>
  </si>
  <si>
    <t>villa đồi 2, phường 10, tp. vũng tàu, bà rịa - vũng tàu</t>
  </si>
  <si>
    <t>24a11 đường 16, kdc an bình, tp. biên hòa, đồng nai</t>
  </si>
  <si>
    <t>35 đường 14,kp5, phường hiệp bình, tphcm</t>
  </si>
  <si>
    <t>villa 16 đường d6 saigon pearl, p.22, q. bình thạnh, tp. hcm</t>
  </si>
  <si>
    <t>số 25c đường số 1, phường tân kiểng, quận 7, tphcm</t>
  </si>
  <si>
    <t>nhà máy gia công cơ khí alphandt, đường số 3, kcn đông xuyên, tp. vũng tàu, bà rịa - vũng tàu</t>
  </si>
  <si>
    <t>biệt thự song lập bt22-23, kđt phú cường, phường an hòa, tp rạch giá, tỉnh kiên giang</t>
  </si>
  <si>
    <t>số 95 đường n20, kp. phước lai, p. trường thạnh, tp. thủ đức, tp. hcm</t>
  </si>
  <si>
    <t>373/65/5 lý thường kiệt, phường 9, quận tân bình, tphcm</t>
  </si>
  <si>
    <t>số 522 nguyễn ái quốc, kp9, hố nai, tp. biên hòa, đồng nai</t>
  </si>
  <si>
    <t>154/38a đường 510 – ql1a, kp.1, phường tân hòa, tp. biên hòa, đồng nai  </t>
  </si>
  <si>
    <t>thửa 178, tbđ số 8, phường phú mỹ, quận 7, tphcm</t>
  </si>
  <si>
    <t>căn 68 đường d2 khu the classia khang điền, tp. thủ đức, tp. hcm</t>
  </si>
  <si>
    <t>hẻm 337 cách mạng tháng 8, kp hòa bình, p.trấn biên, tỉnh đồng nai</t>
  </si>
  <si>
    <t>h40 đường c4, kp4, p.tân thới nhất, quận 12, tphcm</t>
  </si>
  <si>
    <t>43a đường 43, phường tân hưng, tphcm</t>
  </si>
  <si>
    <t>thửa 1221, tbd số 5-1, ấp 3, xã đức hòa, tỉnh tây ninh</t>
  </si>
  <si>
    <t>thửa 1222, tbd số 5-1, ấp 3, xã đức hòa, tỉnh tây ninh</t>
  </si>
  <si>
    <t>3/148 ấp đình, xã tân xuân, huyện hóc môn, tphcm</t>
  </si>
  <si>
    <t>710/6/28 phan văn trị, p.10, q. gò vấp, tp. hcm</t>
  </si>
  <si>
    <t>39 châu vĩnh tế, phường 12, quận tân bình, tphcm</t>
  </si>
  <si>
    <t>299 trương vĩnh ký, tân thành, tân phú, tphcm</t>
  </si>
  <si>
    <t>s1-37 khu new an thới, phú quốc, kiên giang</t>
  </si>
  <si>
    <t>số 7 thẩm mỹ, tân thành, tân phú, tphcm</t>
  </si>
  <si>
    <t>số 33 đường số 88 thạnh mỹ lợi, phường bình trưng, tphcm</t>
  </si>
  <si>
    <t>số 122/28/7 bùi đình túy, p.12, q. bình thạnh, tp. hcm</t>
  </si>
  <si>
    <t>số b06 đường 18, khu nam đô, p. tân phú, q.7, tphcm</t>
  </si>
  <si>
    <t>só 70 nguyễn bá tòng, p.bảy hiền, tphcm</t>
  </si>
  <si>
    <t>số 36/29 nguyễn gia trí, p.25, q. bình thạnh, tp. hcm</t>
  </si>
  <si>
    <t>số 666/48-50 đường 3/2, p.14,q.10, tphcm</t>
  </si>
  <si>
    <t>số 69 nguyễn gia trí, phường thạnh mỹ tây, tphcm</t>
  </si>
  <si>
    <t>số 5/12 đường 22, khu nhà little villa, p. hiệp bình chánh, tp. thủ đức, tp. hcm</t>
  </si>
  <si>
    <t>số 255 ung văn khiêm, p.25, q. bình thạnh, tphcm</t>
  </si>
  <si>
    <t>nền số 20-21 lô a1 khu dân cư cầu kinh, p.25, q. bình thạnh, tp. hcm</t>
  </si>
  <si>
    <t>số 28 trịnh hoài đức, p. phú lợi, tp. thủ dầu một, bình dương</t>
  </si>
  <si>
    <t>số 55/5 tân quý, p. tân quý, q. tân phú, tp. hcm</t>
  </si>
  <si>
    <t>số 88 thống nhất, quận tân phú, tphcm</t>
  </si>
  <si>
    <t>số 53a lê thị hồng, p.17, q. gò vấp, tp. hcm</t>
  </si>
  <si>
    <t>số 53 lê thị hồng, phường 17, quận gò vấp, tphcm</t>
  </si>
  <si>
    <t>số 127/32 âu cơ, (phường 14, q11 cũ), phường hòa bình, tphcm</t>
  </si>
  <si>
    <t>số 65a đường an bình, p.3, tp. đà lạt, lâm đồng</t>
  </si>
  <si>
    <t>thửa đất 1291, tờ bản đồ 47, phường đông hưng thuận, tphcm</t>
  </si>
  <si>
    <t>số 13 khu villa thủ thiêm, p. thạnh mỹ lợi, tp. thủ đức, tp. hcm</t>
  </si>
  <si>
    <t>số 61 thành thái, phường diên hồng, tphcm</t>
  </si>
  <si>
    <t>số 379 bùi đình túy, p.24, q. bình thạnh, tp. hcm (số cũ: một phần số 38/1 nguyễn thiện thuật, p.24, q. bình thạnh, tp. hcm)</t>
  </si>
  <si>
    <t>số 544/43 lý thường kiệt, tân bình, tphcm</t>
  </si>
  <si>
    <t>số 403c chu văn an, p.12, q. bình thạnh, tp. hcm</t>
  </si>
  <si>
    <t>số 83 bình giã, tân bình, tphcm</t>
  </si>
  <si>
    <t>số 274/3a bùi đình túy, bình thạnh, tphcm</t>
  </si>
  <si>
    <t>số 106 đường 24, p. tam phú, tp. thủ đức, tp. hcm</t>
  </si>
  <si>
    <t>số 101 đường 105 trịnh quang nghi, bình đông, tphcm</t>
  </si>
  <si>
    <t>số 36/12a nguyễn gia trí, p.25, q. bình thạnh, tp. hcm</t>
  </si>
  <si>
    <t>số 855 trần hưng đạo, p.1, quận 5, tphcm</t>
  </si>
  <si>
    <t>căn nhà tại thửa đất số 83, tbđ số 53, x. đại phước, h. nhơn trạch, đồng nai</t>
  </si>
  <si>
    <t>thửa 571, tbđ 3, trần thị cờ, thới an, quận 12, tphcm</t>
  </si>
  <si>
    <t>số 71 lũy bán bích, p. tân thới hòa, q. tân phú, tp. hcm</t>
  </si>
  <si>
    <t>số thửa 56, tbđ 228, phường gia định, tphcm</t>
  </si>
  <si>
    <t>văn phòng mekong, số 14-18 đào duy anh, p.9, q. phú nhuận, tp. hcm</t>
  </si>
  <si>
    <t>lk6-02-02 khu dân cư lotus, p.phú nhuận, tphcm</t>
  </si>
  <si>
    <t>số 1122 đường 30, p. linh đông, tp. thủ đức, tp. hcm</t>
  </si>
  <si>
    <t>số 291 tô hiến thành, p.12, q.10, tpchm</t>
  </si>
  <si>
    <t>số 48 đường 32, p. tân phong, q.7, tp. hcm</t>
  </si>
  <si>
    <t>i-lk-24-40, 41 đường n54, khu tái định cư lộc an, bình sơn, long thành, đồng nai</t>
  </si>
  <si>
    <t>số 120 lê thành duy, p. phước hiệp, tp. bà rịa, bà rịa - vũng tàu</t>
  </si>
  <si>
    <t>số 89/1 đình nghi xuân, p. bình trị đông, q. bình tân, tp. hcm</t>
  </si>
  <si>
    <t>nền 33 lô c1, bắc đinh bộ lĩnh, nguyễn xí, p.26, tphcm</t>
  </si>
  <si>
    <t>số 223 tân sơn nhì, p. tân sơn nhì, q. tân phú, tp. hcm</t>
  </si>
  <si>
    <t>số 631/42 lê đức thọ, p.16, q. gò vấp, tphcm</t>
  </si>
  <si>
    <t>số j36 đường n4, khu nhà ở barya city, p.bà rịa, tphcm</t>
  </si>
  <si>
    <t>số 3a bàu cát 3, p.14, q. tân bình, tp. hcm</t>
  </si>
  <si>
    <t>ấp 5 nguyễn hữu thọ, x. phước kiển, h. nhà bè, tp. hcm</t>
  </si>
  <si>
    <t>số 1/12/20 trung mỹ tây, kp6, p. trung mỹ tây, q.12, tp. hcm</t>
  </si>
  <si>
    <t>840 quang trung, phường 8, quận gò vấp, tphcm</t>
  </si>
  <si>
    <t>số 57 đường số 8, phường hiệp bình, tphcm</t>
  </si>
  <si>
    <t>số 958/26/9 lạc long quân, p.8, q. tân bình, tp. hcm</t>
  </si>
  <si>
    <t>103/7 nguyễn hồng đào, p11, q. tân bình, tphcm</t>
  </si>
  <si>
    <t>số 606 cách mạng tháng tám, kp7, p.3, tp. tây ninh, tây ninh</t>
  </si>
  <si>
    <t>số 16 nguyễn viết xuân, phường 4, tp đà lạt, tỉnh lâm đồng</t>
  </si>
  <si>
    <t>19a-19b đường mậu thân, p. xuân khánh, q. ninh kiều, cần thơ</t>
  </si>
  <si>
    <t>số 17 đường số 12a, p bình hưng hòa b, q bình tân, tphcm</t>
  </si>
  <si>
    <t>số 308/4 bình lợi, p.13, q. bình thạnh, tp. hcm</t>
  </si>
  <si>
    <t>419/29 cmt8, phường 13, quận 10, tphcm</t>
  </si>
  <si>
    <t>7a/5/17 thành thái, p.14, q.10, tp. hcm</t>
  </si>
  <si>
    <t>số 121/6 lạc long quân. phường 3, quận 11, tphcm</t>
  </si>
  <si>
    <t>số 171 mạc thanh đạm, kp. long lâm, tt. long điền, long điền, bà rịa - vũng tàu</t>
  </si>
  <si>
    <t>số 111 bùi đình túy, phường 24, quận bình thạnh, tphcm</t>
  </si>
  <si>
    <t>số 363/4 đất mới, p. bình trị đông, q. bình tân, tp. hcm</t>
  </si>
  <si>
    <t>thửa đất số 65, ấp 5, nguyễn hữu thọ, (xã phước kiểng, huyện nhà bè cũ), xã nhà bè, tphcm</t>
  </si>
  <si>
    <t>số 338 độc lập, p. tân qúy, q. tân phú, tp. hcm</t>
  </si>
  <si>
    <t>số 773/4c nguyễn duy trinh, phường phú hữu, tphcm</t>
  </si>
  <si>
    <t>số 601/46d cách mạng tháng tám, p.15, q.10, tp. hcm</t>
  </si>
  <si>
    <t>số 476 âu cơ, (p.10, q.tân bình cũ), p.bảy hiền, tp.hcm</t>
  </si>
  <si>
    <t>số 27b đường số 5, (p.hiệp bình, thủ đức cũ). p.hiệp bình, tphcm</t>
  </si>
  <si>
    <t>kdc phong phú 5, số 80 đường 11, xã bình hưng, tphcm</t>
  </si>
  <si>
    <t>số 86/29 âu cơ, (phường 9, q.tân bình cũ), p.tân hòa, tphcm</t>
  </si>
  <si>
    <t>đường a2, khu làng đại học phước kiển, nhà bè (nội bộ)</t>
  </si>
  <si>
    <t>warranty_period_months</t>
  </si>
  <si>
    <t>maintenance_period_months</t>
  </si>
  <si>
    <t>contract_source</t>
  </si>
  <si>
    <t>elevator_brand</t>
  </si>
  <si>
    <t>shaft_type</t>
  </si>
  <si>
    <t>elevator_type</t>
  </si>
  <si>
    <t>elevator_traction_machine</t>
  </si>
  <si>
    <t>control_system</t>
  </si>
  <si>
    <t>contract_value_before_tax</t>
  </si>
  <si>
    <t>contract_value_after_tax</t>
  </si>
  <si>
    <t>shipping_cost</t>
  </si>
  <si>
    <t>region</t>
  </si>
  <si>
    <t>province_old</t>
  </si>
  <si>
    <t>province_new</t>
  </si>
  <si>
    <t>area_type</t>
  </si>
  <si>
    <t>urban</t>
  </si>
  <si>
    <t>suburban</t>
  </si>
  <si>
    <t>discount</t>
  </si>
  <si>
    <t>customer_commission</t>
  </si>
  <si>
    <t>sales_commission</t>
  </si>
  <si>
    <t>import_date</t>
  </si>
  <si>
    <t>import_staff</t>
  </si>
  <si>
    <t>appendix_value_before_tax</t>
  </si>
  <si>
    <t>contract_vat_amount</t>
  </si>
  <si>
    <t>appendix_vat_amountuế GTGT</t>
  </si>
  <si>
    <t>appendix_value_after_tax</t>
  </si>
  <si>
    <t>appendix_type</t>
  </si>
  <si>
    <t>Variation Appendix</t>
  </si>
  <si>
    <t>No-Cost Addendum</t>
  </si>
  <si>
    <t>Deduction Appendix</t>
  </si>
  <si>
    <t>Saleman_name</t>
  </si>
  <si>
    <t>1509/HĐ-2025</t>
  </si>
  <si>
    <t>project_ID</t>
  </si>
  <si>
    <t>saleman_ID</t>
  </si>
  <si>
    <t>appendix_sequence</t>
  </si>
  <si>
    <t>posision</t>
  </si>
  <si>
    <t>Dept. 1</t>
  </si>
  <si>
    <t>Dept. 2</t>
  </si>
  <si>
    <t>Dept. 3</t>
  </si>
  <si>
    <t>Dept. 4</t>
  </si>
  <si>
    <t>Month</t>
  </si>
  <si>
    <t>Year</t>
  </si>
  <si>
    <t>KPI_units</t>
  </si>
  <si>
    <t>D100112024</t>
  </si>
  <si>
    <t>D100212024</t>
  </si>
  <si>
    <t>D100312024</t>
  </si>
  <si>
    <t>D100412024</t>
  </si>
  <si>
    <t>D200112024</t>
  </si>
  <si>
    <t>D200212024</t>
  </si>
  <si>
    <t>D200312024</t>
  </si>
  <si>
    <t>D200412024</t>
  </si>
  <si>
    <t>D200512024</t>
  </si>
  <si>
    <t>D200612024</t>
  </si>
  <si>
    <t>D200712024</t>
  </si>
  <si>
    <t>D200812024</t>
  </si>
  <si>
    <t>D200912024</t>
  </si>
  <si>
    <t>D201012024</t>
  </si>
  <si>
    <t>D201112024</t>
  </si>
  <si>
    <t>D201212024</t>
  </si>
  <si>
    <t>D201312024</t>
  </si>
  <si>
    <t>D300112024</t>
  </si>
  <si>
    <t>D300212024</t>
  </si>
  <si>
    <t>D300312024</t>
  </si>
  <si>
    <t>D400112024</t>
  </si>
  <si>
    <t>D100122024</t>
  </si>
  <si>
    <t>D100222024</t>
  </si>
  <si>
    <t>D100322024</t>
  </si>
  <si>
    <t>D100422024</t>
  </si>
  <si>
    <t>D200122024</t>
  </si>
  <si>
    <t>D200222024</t>
  </si>
  <si>
    <t>D200322024</t>
  </si>
  <si>
    <t>D200422024</t>
  </si>
  <si>
    <t>D200522024</t>
  </si>
  <si>
    <t>D200622024</t>
  </si>
  <si>
    <t>D200722024</t>
  </si>
  <si>
    <t>D200822024</t>
  </si>
  <si>
    <t>D200922024</t>
  </si>
  <si>
    <t>D201022024</t>
  </si>
  <si>
    <t>D201122024</t>
  </si>
  <si>
    <t>D201222024</t>
  </si>
  <si>
    <t>D201322024</t>
  </si>
  <si>
    <t>D300122024</t>
  </si>
  <si>
    <t>D300222024</t>
  </si>
  <si>
    <t>D300322024</t>
  </si>
  <si>
    <t>D400122024</t>
  </si>
  <si>
    <t>D100132024</t>
  </si>
  <si>
    <t>D100232024</t>
  </si>
  <si>
    <t>D100332024</t>
  </si>
  <si>
    <t>D100432024</t>
  </si>
  <si>
    <t>D200132024</t>
  </si>
  <si>
    <t>D200232024</t>
  </si>
  <si>
    <t>D200332024</t>
  </si>
  <si>
    <t>D200432024</t>
  </si>
  <si>
    <t>D200532024</t>
  </si>
  <si>
    <t>D200632024</t>
  </si>
  <si>
    <t>D200732024</t>
  </si>
  <si>
    <t>D200832024</t>
  </si>
  <si>
    <t>D200932024</t>
  </si>
  <si>
    <t>D201032024</t>
  </si>
  <si>
    <t>D201132024</t>
  </si>
  <si>
    <t>D201232024</t>
  </si>
  <si>
    <t>D201332024</t>
  </si>
  <si>
    <t>D300132024</t>
  </si>
  <si>
    <t>D300232024</t>
  </si>
  <si>
    <t>D300332024</t>
  </si>
  <si>
    <t>D400132024</t>
  </si>
  <si>
    <t>D100142024</t>
  </si>
  <si>
    <t>D100242024</t>
  </si>
  <si>
    <t>D100342024</t>
  </si>
  <si>
    <t>D100442024</t>
  </si>
  <si>
    <t>D200142024</t>
  </si>
  <si>
    <t>D200242024</t>
  </si>
  <si>
    <t>D200342024</t>
  </si>
  <si>
    <t>D200442024</t>
  </si>
  <si>
    <t>D200542024</t>
  </si>
  <si>
    <t>D200642024</t>
  </si>
  <si>
    <t>D200742024</t>
  </si>
  <si>
    <t>D200842024</t>
  </si>
  <si>
    <t>D200942024</t>
  </si>
  <si>
    <t>D201042024</t>
  </si>
  <si>
    <t>D201142024</t>
  </si>
  <si>
    <t>D201242024</t>
  </si>
  <si>
    <t>D201342024</t>
  </si>
  <si>
    <t>D300142024</t>
  </si>
  <si>
    <t>D300242024</t>
  </si>
  <si>
    <t>D300342024</t>
  </si>
  <si>
    <t>D400142024</t>
  </si>
  <si>
    <t>D100152024</t>
  </si>
  <si>
    <t>D100252024</t>
  </si>
  <si>
    <t>D100352024</t>
  </si>
  <si>
    <t>D100452024</t>
  </si>
  <si>
    <t>D200152024</t>
  </si>
  <si>
    <t>D200252024</t>
  </si>
  <si>
    <t>D200352024</t>
  </si>
  <si>
    <t>D200452024</t>
  </si>
  <si>
    <t>D200552024</t>
  </si>
  <si>
    <t>D200652024</t>
  </si>
  <si>
    <t>D200752024</t>
  </si>
  <si>
    <t>D200852024</t>
  </si>
  <si>
    <t>D200952024</t>
  </si>
  <si>
    <t>D201052024</t>
  </si>
  <si>
    <t>D201152024</t>
  </si>
  <si>
    <t>D201252024</t>
  </si>
  <si>
    <t>D201352024</t>
  </si>
  <si>
    <t>D300152024</t>
  </si>
  <si>
    <t>D300252024</t>
  </si>
  <si>
    <t>D300352024</t>
  </si>
  <si>
    <t>D400152024</t>
  </si>
  <si>
    <t>D100162024</t>
  </si>
  <si>
    <t>D100262024</t>
  </si>
  <si>
    <t>D100362024</t>
  </si>
  <si>
    <t>D100462024</t>
  </si>
  <si>
    <t>D200162024</t>
  </si>
  <si>
    <t>D200262024</t>
  </si>
  <si>
    <t>D200362024</t>
  </si>
  <si>
    <t>D200462024</t>
  </si>
  <si>
    <t>D200562024</t>
  </si>
  <si>
    <t>D200662024</t>
  </si>
  <si>
    <t>D200762024</t>
  </si>
  <si>
    <t>D200862024</t>
  </si>
  <si>
    <t>D200962024</t>
  </si>
  <si>
    <t>D201062024</t>
  </si>
  <si>
    <t>D201162024</t>
  </si>
  <si>
    <t>D201262024</t>
  </si>
  <si>
    <t>D201362024</t>
  </si>
  <si>
    <t>D300162024</t>
  </si>
  <si>
    <t>D300262024</t>
  </si>
  <si>
    <t>D300362024</t>
  </si>
  <si>
    <t>D400162024</t>
  </si>
  <si>
    <t>D100172024</t>
  </si>
  <si>
    <t>D100272024</t>
  </si>
  <si>
    <t>D100372024</t>
  </si>
  <si>
    <t>D100472024</t>
  </si>
  <si>
    <t>D200172024</t>
  </si>
  <si>
    <t>D200272024</t>
  </si>
  <si>
    <t>D200372024</t>
  </si>
  <si>
    <t>D200472024</t>
  </si>
  <si>
    <t>D200572024</t>
  </si>
  <si>
    <t>D200672024</t>
  </si>
  <si>
    <t>D200772024</t>
  </si>
  <si>
    <t>D200872024</t>
  </si>
  <si>
    <t>D200972024</t>
  </si>
  <si>
    <t>D201072024</t>
  </si>
  <si>
    <t>D201172024</t>
  </si>
  <si>
    <t>D201272024</t>
  </si>
  <si>
    <t>D201372024</t>
  </si>
  <si>
    <t>D300172024</t>
  </si>
  <si>
    <t>D300272024</t>
  </si>
  <si>
    <t>D300372024</t>
  </si>
  <si>
    <t>D400172024</t>
  </si>
  <si>
    <t>D100182024</t>
  </si>
  <si>
    <t>D100282024</t>
  </si>
  <si>
    <t>D100382024</t>
  </si>
  <si>
    <t>D100482024</t>
  </si>
  <si>
    <t>D200182024</t>
  </si>
  <si>
    <t>D200282024</t>
  </si>
  <si>
    <t>D200382024</t>
  </si>
  <si>
    <t>D200482024</t>
  </si>
  <si>
    <t>D200582024</t>
  </si>
  <si>
    <t>D200682024</t>
  </si>
  <si>
    <t>D200782024</t>
  </si>
  <si>
    <t>D200882024</t>
  </si>
  <si>
    <t>D200982024</t>
  </si>
  <si>
    <t>D201082024</t>
  </si>
  <si>
    <t>D201182024</t>
  </si>
  <si>
    <t>D201282024</t>
  </si>
  <si>
    <t>D201382024</t>
  </si>
  <si>
    <t>D300182024</t>
  </si>
  <si>
    <t>D300282024</t>
  </si>
  <si>
    <t>D300382024</t>
  </si>
  <si>
    <t>D400182024</t>
  </si>
  <si>
    <t>D100192024</t>
  </si>
  <si>
    <t>D100292024</t>
  </si>
  <si>
    <t>D100392024</t>
  </si>
  <si>
    <t>D100492024</t>
  </si>
  <si>
    <t>D200192024</t>
  </si>
  <si>
    <t>D200292024</t>
  </si>
  <si>
    <t>D200392024</t>
  </si>
  <si>
    <t>D200492024</t>
  </si>
  <si>
    <t>D200592024</t>
  </si>
  <si>
    <t>D200692024</t>
  </si>
  <si>
    <t>D200792024</t>
  </si>
  <si>
    <t>D200892024</t>
  </si>
  <si>
    <t>D200992024</t>
  </si>
  <si>
    <t>D201092024</t>
  </si>
  <si>
    <t>D201192024</t>
  </si>
  <si>
    <t>D201292024</t>
  </si>
  <si>
    <t>D201392024</t>
  </si>
  <si>
    <t>D300192024</t>
  </si>
  <si>
    <t>D300292024</t>
  </si>
  <si>
    <t>D300392024</t>
  </si>
  <si>
    <t>D400192024</t>
  </si>
  <si>
    <t>D1001102024</t>
  </si>
  <si>
    <t>D1002102024</t>
  </si>
  <si>
    <t>D1003102024</t>
  </si>
  <si>
    <t>D1004102024</t>
  </si>
  <si>
    <t>D2001102024</t>
  </si>
  <si>
    <t>D2002102024</t>
  </si>
  <si>
    <t>D2003102024</t>
  </si>
  <si>
    <t>D2004102024</t>
  </si>
  <si>
    <t>D2005102024</t>
  </si>
  <si>
    <t>D2006102024</t>
  </si>
  <si>
    <t>D2007102024</t>
  </si>
  <si>
    <t>D2008102024</t>
  </si>
  <si>
    <t>D2009102024</t>
  </si>
  <si>
    <t>D2010102024</t>
  </si>
  <si>
    <t>D2011102024</t>
  </si>
  <si>
    <t>D2012102024</t>
  </si>
  <si>
    <t>D2013102024</t>
  </si>
  <si>
    <t>D3001102024</t>
  </si>
  <si>
    <t>D3002102024</t>
  </si>
  <si>
    <t>D3003102024</t>
  </si>
  <si>
    <t>D4001102024</t>
  </si>
  <si>
    <t>D1001112024</t>
  </si>
  <si>
    <t>D1002112024</t>
  </si>
  <si>
    <t>D1003112024</t>
  </si>
  <si>
    <t>D1004112024</t>
  </si>
  <si>
    <t>D2001112024</t>
  </si>
  <si>
    <t>D2002112024</t>
  </si>
  <si>
    <t>D2003112024</t>
  </si>
  <si>
    <t>D2004112024</t>
  </si>
  <si>
    <t>D2005112024</t>
  </si>
  <si>
    <t>D2006112024</t>
  </si>
  <si>
    <t>D2007112024</t>
  </si>
  <si>
    <t>D2008112024</t>
  </si>
  <si>
    <t>D2009112024</t>
  </si>
  <si>
    <t>D2010112024</t>
  </si>
  <si>
    <t>D2011112024</t>
  </si>
  <si>
    <t>D2012112024</t>
  </si>
  <si>
    <t>D2013112024</t>
  </si>
  <si>
    <t>D3001112024</t>
  </si>
  <si>
    <t>D3002112024</t>
  </si>
  <si>
    <t>D3003112024</t>
  </si>
  <si>
    <t>D4001112024</t>
  </si>
  <si>
    <t>D1001122024</t>
  </si>
  <si>
    <t>D1002122024</t>
  </si>
  <si>
    <t>D1003122024</t>
  </si>
  <si>
    <t>D1004122024</t>
  </si>
  <si>
    <t>D2001122024</t>
  </si>
  <si>
    <t>D2002122024</t>
  </si>
  <si>
    <t>D2003122024</t>
  </si>
  <si>
    <t>D2004122024</t>
  </si>
  <si>
    <t>D2005122024</t>
  </si>
  <si>
    <t>D2006122024</t>
  </si>
  <si>
    <t>D2007122024</t>
  </si>
  <si>
    <t>D2008122024</t>
  </si>
  <si>
    <t>D2009122024</t>
  </si>
  <si>
    <t>D2010122024</t>
  </si>
  <si>
    <t>D2011122024</t>
  </si>
  <si>
    <t>D2012122024</t>
  </si>
  <si>
    <t>D2013122024</t>
  </si>
  <si>
    <t>D3001122024</t>
  </si>
  <si>
    <t>D3002122024</t>
  </si>
  <si>
    <t>D3003122024</t>
  </si>
  <si>
    <t>D4001122024</t>
  </si>
  <si>
    <t>D100112025</t>
  </si>
  <si>
    <t>D100212025</t>
  </si>
  <si>
    <t>D100312025</t>
  </si>
  <si>
    <t>D100412025</t>
  </si>
  <si>
    <t>D200112025</t>
  </si>
  <si>
    <t>D200212025</t>
  </si>
  <si>
    <t>D200312025</t>
  </si>
  <si>
    <t>D200412025</t>
  </si>
  <si>
    <t>D200512025</t>
  </si>
  <si>
    <t>D200612025</t>
  </si>
  <si>
    <t>D200712025</t>
  </si>
  <si>
    <t>D200812025</t>
  </si>
  <si>
    <t>D200912025</t>
  </si>
  <si>
    <t>D201012025</t>
  </si>
  <si>
    <t>D201112025</t>
  </si>
  <si>
    <t>D201212025</t>
  </si>
  <si>
    <t>D201312025</t>
  </si>
  <si>
    <t>D300112025</t>
  </si>
  <si>
    <t>D300212025</t>
  </si>
  <si>
    <t>D300312025</t>
  </si>
  <si>
    <t>D400112025</t>
  </si>
  <si>
    <t>D100122025</t>
  </si>
  <si>
    <t>D100222025</t>
  </si>
  <si>
    <t>D100322025</t>
  </si>
  <si>
    <t>D100422025</t>
  </si>
  <si>
    <t>D200122025</t>
  </si>
  <si>
    <t>D200222025</t>
  </si>
  <si>
    <t>D200322025</t>
  </si>
  <si>
    <t>D200422025</t>
  </si>
  <si>
    <t>D200522025</t>
  </si>
  <si>
    <t>D200622025</t>
  </si>
  <si>
    <t>D200722025</t>
  </si>
  <si>
    <t>D200822025</t>
  </si>
  <si>
    <t>D200922025</t>
  </si>
  <si>
    <t>D201022025</t>
  </si>
  <si>
    <t>D201122025</t>
  </si>
  <si>
    <t>D201222025</t>
  </si>
  <si>
    <t>D201322025</t>
  </si>
  <si>
    <t>D300122025</t>
  </si>
  <si>
    <t>D300222025</t>
  </si>
  <si>
    <t>D300322025</t>
  </si>
  <si>
    <t>D400122025</t>
  </si>
  <si>
    <t>D100132025</t>
  </si>
  <si>
    <t>D100232025</t>
  </si>
  <si>
    <t>D100332025</t>
  </si>
  <si>
    <t>D100432025</t>
  </si>
  <si>
    <t>D200132025</t>
  </si>
  <si>
    <t>D200232025</t>
  </si>
  <si>
    <t>D200332025</t>
  </si>
  <si>
    <t>D200432025</t>
  </si>
  <si>
    <t>D200532025</t>
  </si>
  <si>
    <t>D200632025</t>
  </si>
  <si>
    <t>D200732025</t>
  </si>
  <si>
    <t>D200832025</t>
  </si>
  <si>
    <t>D200932025</t>
  </si>
  <si>
    <t>D201032025</t>
  </si>
  <si>
    <t>D201132025</t>
  </si>
  <si>
    <t>D201232025</t>
  </si>
  <si>
    <t>D201332025</t>
  </si>
  <si>
    <t>D300132025</t>
  </si>
  <si>
    <t>D300232025</t>
  </si>
  <si>
    <t>D300332025</t>
  </si>
  <si>
    <t>D400132025</t>
  </si>
  <si>
    <t>D100142025</t>
  </si>
  <si>
    <t>D100242025</t>
  </si>
  <si>
    <t>D100342025</t>
  </si>
  <si>
    <t>D100442025</t>
  </si>
  <si>
    <t>D200142025</t>
  </si>
  <si>
    <t>D200242025</t>
  </si>
  <si>
    <t>D200342025</t>
  </si>
  <si>
    <t>D200442025</t>
  </si>
  <si>
    <t>D200542025</t>
  </si>
  <si>
    <t>D200642025</t>
  </si>
  <si>
    <t>D200742025</t>
  </si>
  <si>
    <t>D200842025</t>
  </si>
  <si>
    <t>D200942025</t>
  </si>
  <si>
    <t>D201042025</t>
  </si>
  <si>
    <t>D201142025</t>
  </si>
  <si>
    <t>D201242025</t>
  </si>
  <si>
    <t>D201342025</t>
  </si>
  <si>
    <t>D300142025</t>
  </si>
  <si>
    <t>D300242025</t>
  </si>
  <si>
    <t>D300342025</t>
  </si>
  <si>
    <t>D400142025</t>
  </si>
  <si>
    <t>D100152025</t>
  </si>
  <si>
    <t>D100252025</t>
  </si>
  <si>
    <t>D100352025</t>
  </si>
  <si>
    <t>D100452025</t>
  </si>
  <si>
    <t>D200152025</t>
  </si>
  <si>
    <t>D200252025</t>
  </si>
  <si>
    <t>D200352025</t>
  </si>
  <si>
    <t>D200452025</t>
  </si>
  <si>
    <t>D200552025</t>
  </si>
  <si>
    <t>D200652025</t>
  </si>
  <si>
    <t>D200752025</t>
  </si>
  <si>
    <t>D200852025</t>
  </si>
  <si>
    <t>D200952025</t>
  </si>
  <si>
    <t>D201052025</t>
  </si>
  <si>
    <t>D201152025</t>
  </si>
  <si>
    <t>D201252025</t>
  </si>
  <si>
    <t>D201352025</t>
  </si>
  <si>
    <t>D300152025</t>
  </si>
  <si>
    <t>D300252025</t>
  </si>
  <si>
    <t>D300352025</t>
  </si>
  <si>
    <t>D400152025</t>
  </si>
  <si>
    <t>D100162025</t>
  </si>
  <si>
    <t>D100262025</t>
  </si>
  <si>
    <t>D100362025</t>
  </si>
  <si>
    <t>D100462025</t>
  </si>
  <si>
    <t>D200162025</t>
  </si>
  <si>
    <t>D200262025</t>
  </si>
  <si>
    <t>D200362025</t>
  </si>
  <si>
    <t>D200462025</t>
  </si>
  <si>
    <t>D200562025</t>
  </si>
  <si>
    <t>D200662025</t>
  </si>
  <si>
    <t>D200762025</t>
  </si>
  <si>
    <t>D200862025</t>
  </si>
  <si>
    <t>D200962025</t>
  </si>
  <si>
    <t>D201062025</t>
  </si>
  <si>
    <t>D201162025</t>
  </si>
  <si>
    <t>D201262025</t>
  </si>
  <si>
    <t>D201362025</t>
  </si>
  <si>
    <t>D300162025</t>
  </si>
  <si>
    <t>D300262025</t>
  </si>
  <si>
    <t>D300362025</t>
  </si>
  <si>
    <t>D400162025</t>
  </si>
  <si>
    <t>D100172025</t>
  </si>
  <si>
    <t>D100272025</t>
  </si>
  <si>
    <t>D100372025</t>
  </si>
  <si>
    <t>D100472025</t>
  </si>
  <si>
    <t>D200172025</t>
  </si>
  <si>
    <t>D200272025</t>
  </si>
  <si>
    <t>D200372025</t>
  </si>
  <si>
    <t>D200472025</t>
  </si>
  <si>
    <t>D200572025</t>
  </si>
  <si>
    <t>D200672025</t>
  </si>
  <si>
    <t>D200772025</t>
  </si>
  <si>
    <t>D200872025</t>
  </si>
  <si>
    <t>D200972025</t>
  </si>
  <si>
    <t>D201072025</t>
  </si>
  <si>
    <t>D201172025</t>
  </si>
  <si>
    <t>D201272025</t>
  </si>
  <si>
    <t>D201372025</t>
  </si>
  <si>
    <t>D300172025</t>
  </si>
  <si>
    <t>D300272025</t>
  </si>
  <si>
    <t>D300372025</t>
  </si>
  <si>
    <t>D400172025</t>
  </si>
  <si>
    <t>D100182025</t>
  </si>
  <si>
    <t>D100282025</t>
  </si>
  <si>
    <t>D100382025</t>
  </si>
  <si>
    <t>D100482025</t>
  </si>
  <si>
    <t>D200182025</t>
  </si>
  <si>
    <t>D200282025</t>
  </si>
  <si>
    <t>D200382025</t>
  </si>
  <si>
    <t>D200482025</t>
  </si>
  <si>
    <t>D200582025</t>
  </si>
  <si>
    <t>D200682025</t>
  </si>
  <si>
    <t>D200782025</t>
  </si>
  <si>
    <t>D200882025</t>
  </si>
  <si>
    <t>D200982025</t>
  </si>
  <si>
    <t>D201082025</t>
  </si>
  <si>
    <t>D201182025</t>
  </si>
  <si>
    <t>D201282025</t>
  </si>
  <si>
    <t>D201382025</t>
  </si>
  <si>
    <t>D300182025</t>
  </si>
  <si>
    <t>D300282025</t>
  </si>
  <si>
    <t>D300382025</t>
  </si>
  <si>
    <t>D400182025</t>
  </si>
  <si>
    <t>D100192025</t>
  </si>
  <si>
    <t>D100292025</t>
  </si>
  <si>
    <t>D100392025</t>
  </si>
  <si>
    <t>D100492025</t>
  </si>
  <si>
    <t>D200192025</t>
  </si>
  <si>
    <t>D200292025</t>
  </si>
  <si>
    <t>D200392025</t>
  </si>
  <si>
    <t>D200492025</t>
  </si>
  <si>
    <t>D200592025</t>
  </si>
  <si>
    <t>D200692025</t>
  </si>
  <si>
    <t>D200792025</t>
  </si>
  <si>
    <t>D200892025</t>
  </si>
  <si>
    <t>D200992025</t>
  </si>
  <si>
    <t>D201092025</t>
  </si>
  <si>
    <t>D201192025</t>
  </si>
  <si>
    <t>D201292025</t>
  </si>
  <si>
    <t>D201392025</t>
  </si>
  <si>
    <t>D300192025</t>
  </si>
  <si>
    <t>D300292025</t>
  </si>
  <si>
    <t>D300392025</t>
  </si>
  <si>
    <t>D400192025</t>
  </si>
  <si>
    <t>D1001102025</t>
  </si>
  <si>
    <t>D1002102025</t>
  </si>
  <si>
    <t>D1003102025</t>
  </si>
  <si>
    <t>D1004102025</t>
  </si>
  <si>
    <t>D2001102025</t>
  </si>
  <si>
    <t>D2002102025</t>
  </si>
  <si>
    <t>D2003102025</t>
  </si>
  <si>
    <t>D2004102025</t>
  </si>
  <si>
    <t>D2005102025</t>
  </si>
  <si>
    <t>D2006102025</t>
  </si>
  <si>
    <t>D2007102025</t>
  </si>
  <si>
    <t>D2008102025</t>
  </si>
  <si>
    <t>D2009102025</t>
  </si>
  <si>
    <t>D2010102025</t>
  </si>
  <si>
    <t>D2011102025</t>
  </si>
  <si>
    <t>D2012102025</t>
  </si>
  <si>
    <t>D2013102025</t>
  </si>
  <si>
    <t>D3001102025</t>
  </si>
  <si>
    <t>D3002102025</t>
  </si>
  <si>
    <t>D3003102025</t>
  </si>
  <si>
    <t>D4001102025</t>
  </si>
  <si>
    <t>D1001112025</t>
  </si>
  <si>
    <t>D1002112025</t>
  </si>
  <si>
    <t>D1003112025</t>
  </si>
  <si>
    <t>D1004112025</t>
  </si>
  <si>
    <t>D2001112025</t>
  </si>
  <si>
    <t>D2002112025</t>
  </si>
  <si>
    <t>D2003112025</t>
  </si>
  <si>
    <t>D2004112025</t>
  </si>
  <si>
    <t>D2005112025</t>
  </si>
  <si>
    <t>D2006112025</t>
  </si>
  <si>
    <t>D2007112025</t>
  </si>
  <si>
    <t>D2008112025</t>
  </si>
  <si>
    <t>D2009112025</t>
  </si>
  <si>
    <t>D2010112025</t>
  </si>
  <si>
    <t>D2011112025</t>
  </si>
  <si>
    <t>D2012112025</t>
  </si>
  <si>
    <t>D2013112025</t>
  </si>
  <si>
    <t>D3001112025</t>
  </si>
  <si>
    <t>D3002112025</t>
  </si>
  <si>
    <t>D3003112025</t>
  </si>
  <si>
    <t>D4001112025</t>
  </si>
  <si>
    <t>D1001122025</t>
  </si>
  <si>
    <t>D1002122025</t>
  </si>
  <si>
    <t>D1003122025</t>
  </si>
  <si>
    <t>D1004122025</t>
  </si>
  <si>
    <t>D2001122025</t>
  </si>
  <si>
    <t>D2002122025</t>
  </si>
  <si>
    <t>D2003122025</t>
  </si>
  <si>
    <t>D2004122025</t>
  </si>
  <si>
    <t>D2005122025</t>
  </si>
  <si>
    <t>D2006122025</t>
  </si>
  <si>
    <t>D2007122025</t>
  </si>
  <si>
    <t>D2008122025</t>
  </si>
  <si>
    <t>D2009122025</t>
  </si>
  <si>
    <t>D2010122025</t>
  </si>
  <si>
    <t>D2011122025</t>
  </si>
  <si>
    <t>D2012122025</t>
  </si>
  <si>
    <t>D2013122025</t>
  </si>
  <si>
    <t>D3001122025</t>
  </si>
  <si>
    <t>D3002122025</t>
  </si>
  <si>
    <t>D3003122025</t>
  </si>
  <si>
    <t>D4001122025</t>
  </si>
  <si>
    <t>D100112026</t>
  </si>
  <si>
    <t>D100212026</t>
  </si>
  <si>
    <t>D100312026</t>
  </si>
  <si>
    <t>D100412026</t>
  </si>
  <si>
    <t>D200112026</t>
  </si>
  <si>
    <t>D200212026</t>
  </si>
  <si>
    <t>D200312026</t>
  </si>
  <si>
    <t>D200412026</t>
  </si>
  <si>
    <t>D200512026</t>
  </si>
  <si>
    <t>D200612026</t>
  </si>
  <si>
    <t>D200712026</t>
  </si>
  <si>
    <t>D200812026</t>
  </si>
  <si>
    <t>D200912026</t>
  </si>
  <si>
    <t>D201012026</t>
  </si>
  <si>
    <t>D201112026</t>
  </si>
  <si>
    <t>D201212026</t>
  </si>
  <si>
    <t>D201312026</t>
  </si>
  <si>
    <t>D300112026</t>
  </si>
  <si>
    <t>D300212026</t>
  </si>
  <si>
    <t>D300312026</t>
  </si>
  <si>
    <t>D400112026</t>
  </si>
  <si>
    <t>D100122026</t>
  </si>
  <si>
    <t>D100222026</t>
  </si>
  <si>
    <t>D100322026</t>
  </si>
  <si>
    <t>D100422026</t>
  </si>
  <si>
    <t>D200122026</t>
  </si>
  <si>
    <t>D200222026</t>
  </si>
  <si>
    <t>D200322026</t>
  </si>
  <si>
    <t>D200422026</t>
  </si>
  <si>
    <t>D200522026</t>
  </si>
  <si>
    <t>D200622026</t>
  </si>
  <si>
    <t>D200722026</t>
  </si>
  <si>
    <t>D200822026</t>
  </si>
  <si>
    <t>D200922026</t>
  </si>
  <si>
    <t>D201022026</t>
  </si>
  <si>
    <t>D201122026</t>
  </si>
  <si>
    <t>D201222026</t>
  </si>
  <si>
    <t>D201322026</t>
  </si>
  <si>
    <t>D300122026</t>
  </si>
  <si>
    <t>D300222026</t>
  </si>
  <si>
    <t>D300322026</t>
  </si>
  <si>
    <t>D400122026</t>
  </si>
  <si>
    <t>D100132026</t>
  </si>
  <si>
    <t>D100232026</t>
  </si>
  <si>
    <t>D100332026</t>
  </si>
  <si>
    <t>D100432026</t>
  </si>
  <si>
    <t>D200132026</t>
  </si>
  <si>
    <t>D200232026</t>
  </si>
  <si>
    <t>D200332026</t>
  </si>
  <si>
    <t>D200432026</t>
  </si>
  <si>
    <t>D200532026</t>
  </si>
  <si>
    <t>D200632026</t>
  </si>
  <si>
    <t>D200732026</t>
  </si>
  <si>
    <t>D200832026</t>
  </si>
  <si>
    <t>D200932026</t>
  </si>
  <si>
    <t>D201032026</t>
  </si>
  <si>
    <t>D201132026</t>
  </si>
  <si>
    <t>D201232026</t>
  </si>
  <si>
    <t>D201332026</t>
  </si>
  <si>
    <t>D300132026</t>
  </si>
  <si>
    <t>D300232026</t>
  </si>
  <si>
    <t>D300332026</t>
  </si>
  <si>
    <t>D400132026</t>
  </si>
  <si>
    <t>D100142026</t>
  </si>
  <si>
    <t>D100242026</t>
  </si>
  <si>
    <t>D100342026</t>
  </si>
  <si>
    <t>D100442026</t>
  </si>
  <si>
    <t>D200142026</t>
  </si>
  <si>
    <t>D200242026</t>
  </si>
  <si>
    <t>D200342026</t>
  </si>
  <si>
    <t>D200442026</t>
  </si>
  <si>
    <t>D200542026</t>
  </si>
  <si>
    <t>D200642026</t>
  </si>
  <si>
    <t>D200742026</t>
  </si>
  <si>
    <t>D200842026</t>
  </si>
  <si>
    <t>D200942026</t>
  </si>
  <si>
    <t>D201042026</t>
  </si>
  <si>
    <t>D201142026</t>
  </si>
  <si>
    <t>D201242026</t>
  </si>
  <si>
    <t>D201342026</t>
  </si>
  <si>
    <t>D300142026</t>
  </si>
  <si>
    <t>D300242026</t>
  </si>
  <si>
    <t>D300342026</t>
  </si>
  <si>
    <t>D400142026</t>
  </si>
  <si>
    <t>D100152026</t>
  </si>
  <si>
    <t>D100252026</t>
  </si>
  <si>
    <t>D100352026</t>
  </si>
  <si>
    <t>D100452026</t>
  </si>
  <si>
    <t>D200152026</t>
  </si>
  <si>
    <t>D200252026</t>
  </si>
  <si>
    <t>D200352026</t>
  </si>
  <si>
    <t>D200452026</t>
  </si>
  <si>
    <t>D200552026</t>
  </si>
  <si>
    <t>D200652026</t>
  </si>
  <si>
    <t>D200752026</t>
  </si>
  <si>
    <t>D200852026</t>
  </si>
  <si>
    <t>D200952026</t>
  </si>
  <si>
    <t>D201052026</t>
  </si>
  <si>
    <t>D201152026</t>
  </si>
  <si>
    <t>D201252026</t>
  </si>
  <si>
    <t>D201352026</t>
  </si>
  <si>
    <t>D300152026</t>
  </si>
  <si>
    <t>D300252026</t>
  </si>
  <si>
    <t>D300352026</t>
  </si>
  <si>
    <t>D400152026</t>
  </si>
  <si>
    <t>D100162026</t>
  </si>
  <si>
    <t>D100262026</t>
  </si>
  <si>
    <t>D100362026</t>
  </si>
  <si>
    <t>D100462026</t>
  </si>
  <si>
    <t>D200162026</t>
  </si>
  <si>
    <t>D200262026</t>
  </si>
  <si>
    <t>D200362026</t>
  </si>
  <si>
    <t>D200462026</t>
  </si>
  <si>
    <t>D200562026</t>
  </si>
  <si>
    <t>D200662026</t>
  </si>
  <si>
    <t>D200762026</t>
  </si>
  <si>
    <t>D200862026</t>
  </si>
  <si>
    <t>D200962026</t>
  </si>
  <si>
    <t>D201062026</t>
  </si>
  <si>
    <t>D201162026</t>
  </si>
  <si>
    <t>D201262026</t>
  </si>
  <si>
    <t>D201362026</t>
  </si>
  <si>
    <t>D300162026</t>
  </si>
  <si>
    <t>D300262026</t>
  </si>
  <si>
    <t>D300362026</t>
  </si>
  <si>
    <t>D400162026</t>
  </si>
  <si>
    <t>D100172026</t>
  </si>
  <si>
    <t>D100272026</t>
  </si>
  <si>
    <t>D100372026</t>
  </si>
  <si>
    <t>D100472026</t>
  </si>
  <si>
    <t>D200172026</t>
  </si>
  <si>
    <t>D200272026</t>
  </si>
  <si>
    <t>D200372026</t>
  </si>
  <si>
    <t>D200472026</t>
  </si>
  <si>
    <t>D200572026</t>
  </si>
  <si>
    <t>D200672026</t>
  </si>
  <si>
    <t>D200772026</t>
  </si>
  <si>
    <t>D200872026</t>
  </si>
  <si>
    <t>D200972026</t>
  </si>
  <si>
    <t>D201072026</t>
  </si>
  <si>
    <t>D201172026</t>
  </si>
  <si>
    <t>D201272026</t>
  </si>
  <si>
    <t>D201372026</t>
  </si>
  <si>
    <t>D300172026</t>
  </si>
  <si>
    <t>D300272026</t>
  </si>
  <si>
    <t>D300372026</t>
  </si>
  <si>
    <t>D400172026</t>
  </si>
  <si>
    <t>D100182026</t>
  </si>
  <si>
    <t>D100282026</t>
  </si>
  <si>
    <t>D100382026</t>
  </si>
  <si>
    <t>D100482026</t>
  </si>
  <si>
    <t>D200182026</t>
  </si>
  <si>
    <t>D200282026</t>
  </si>
  <si>
    <t>D200382026</t>
  </si>
  <si>
    <t>D200482026</t>
  </si>
  <si>
    <t>D200582026</t>
  </si>
  <si>
    <t>D200682026</t>
  </si>
  <si>
    <t>D200782026</t>
  </si>
  <si>
    <t>D200882026</t>
  </si>
  <si>
    <t>D200982026</t>
  </si>
  <si>
    <t>D201082026</t>
  </si>
  <si>
    <t>D201182026</t>
  </si>
  <si>
    <t>D201282026</t>
  </si>
  <si>
    <t>D201382026</t>
  </si>
  <si>
    <t>D300182026</t>
  </si>
  <si>
    <t>D300282026</t>
  </si>
  <si>
    <t>D300382026</t>
  </si>
  <si>
    <t>D400182026</t>
  </si>
  <si>
    <t>D100192026</t>
  </si>
  <si>
    <t>D100292026</t>
  </si>
  <si>
    <t>D100392026</t>
  </si>
  <si>
    <t>D100492026</t>
  </si>
  <si>
    <t>D200192026</t>
  </si>
  <si>
    <t>D200292026</t>
  </si>
  <si>
    <t>D200392026</t>
  </si>
  <si>
    <t>D200492026</t>
  </si>
  <si>
    <t>D200592026</t>
  </si>
  <si>
    <t>D200692026</t>
  </si>
  <si>
    <t>D200792026</t>
  </si>
  <si>
    <t>D200892026</t>
  </si>
  <si>
    <t>D200992026</t>
  </si>
  <si>
    <t>D201092026</t>
  </si>
  <si>
    <t>D201192026</t>
  </si>
  <si>
    <t>D201292026</t>
  </si>
  <si>
    <t>D201392026</t>
  </si>
  <si>
    <t>D300192026</t>
  </si>
  <si>
    <t>D300292026</t>
  </si>
  <si>
    <t>D300392026</t>
  </si>
  <si>
    <t>D400192026</t>
  </si>
  <si>
    <t>D1001102026</t>
  </si>
  <si>
    <t>D1002102026</t>
  </si>
  <si>
    <t>D1003102026</t>
  </si>
  <si>
    <t>D1004102026</t>
  </si>
  <si>
    <t>D2001102026</t>
  </si>
  <si>
    <t>D2002102026</t>
  </si>
  <si>
    <t>D2003102026</t>
  </si>
  <si>
    <t>D2004102026</t>
  </si>
  <si>
    <t>D2005102026</t>
  </si>
  <si>
    <t>D2006102026</t>
  </si>
  <si>
    <t>D2007102026</t>
  </si>
  <si>
    <t>D2008102026</t>
  </si>
  <si>
    <t>D2009102026</t>
  </si>
  <si>
    <t>D2010102026</t>
  </si>
  <si>
    <t>D2011102026</t>
  </si>
  <si>
    <t>D2012102026</t>
  </si>
  <si>
    <t>D2013102026</t>
  </si>
  <si>
    <t>D3001102026</t>
  </si>
  <si>
    <t>D3002102026</t>
  </si>
  <si>
    <t>D3003102026</t>
  </si>
  <si>
    <t>D4001102026</t>
  </si>
  <si>
    <t>D1001112026</t>
  </si>
  <si>
    <t>D1002112026</t>
  </si>
  <si>
    <t>D1003112026</t>
  </si>
  <si>
    <t>D1004112026</t>
  </si>
  <si>
    <t>D2001112026</t>
  </si>
  <si>
    <t>D2002112026</t>
  </si>
  <si>
    <t>D2003112026</t>
  </si>
  <si>
    <t>D2004112026</t>
  </si>
  <si>
    <t>D2005112026</t>
  </si>
  <si>
    <t>D2006112026</t>
  </si>
  <si>
    <t>D2007112026</t>
  </si>
  <si>
    <t>D2008112026</t>
  </si>
  <si>
    <t>D2009112026</t>
  </si>
  <si>
    <t>D2010112026</t>
  </si>
  <si>
    <t>D2011112026</t>
  </si>
  <si>
    <t>D2012112026</t>
  </si>
  <si>
    <t>D2013112026</t>
  </si>
  <si>
    <t>D3001112026</t>
  </si>
  <si>
    <t>D3002112026</t>
  </si>
  <si>
    <t>D3003112026</t>
  </si>
  <si>
    <t>D4001112026</t>
  </si>
  <si>
    <t>D1001122026</t>
  </si>
  <si>
    <t>D1002122026</t>
  </si>
  <si>
    <t>D1003122026</t>
  </si>
  <si>
    <t>D1004122026</t>
  </si>
  <si>
    <t>D2001122026</t>
  </si>
  <si>
    <t>D2002122026</t>
  </si>
  <si>
    <t>D2003122026</t>
  </si>
  <si>
    <t>D2004122026</t>
  </si>
  <si>
    <t>D2005122026</t>
  </si>
  <si>
    <t>D2006122026</t>
  </si>
  <si>
    <t>D2007122026</t>
  </si>
  <si>
    <t>D2008122026</t>
  </si>
  <si>
    <t>D2009122026</t>
  </si>
  <si>
    <t>D2010122026</t>
  </si>
  <si>
    <t>D2011122026</t>
  </si>
  <si>
    <t>D2012122026</t>
  </si>
  <si>
    <t>D2013122026</t>
  </si>
  <si>
    <t>D3001122026</t>
  </si>
  <si>
    <t>D3002122026</t>
  </si>
  <si>
    <t>D3003122026</t>
  </si>
  <si>
    <t>D4001122026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</si>
</sst>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000000000"/>
  </numFmts>
  <fonts count="1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charset val="163"/>
      <scheme val="minor"/>
    </font>
    <font>
      <sz val="8"/>
      <name val="Arial"/>
      <family val="2"/>
      <charset val="163"/>
      <scheme val="minor"/>
    </font>
    <font>
      <sz val="10"/>
      <color rgb="FF0070C0"/>
      <name val="Arial"/>
      <family val="2"/>
      <charset val="163"/>
      <scheme val="minor"/>
    </font>
    <font>
      <sz val="10"/>
      <color rgb="FF000000"/>
      <name val="Arial"/>
      <family val="2"/>
      <scheme val="minor"/>
    </font>
    <font>
      <sz val="10"/>
      <color rgb="FF0070C0"/>
      <name val="Arial"/>
      <family val="2"/>
      <scheme val="minor"/>
    </font>
    <font>
      <sz val="12"/>
      <color rgb="FF0070C0"/>
      <name val="Times New Roman"/>
      <family val="1"/>
      <charset val="163"/>
    </font>
    <font>
      <b/>
      <sz val="12"/>
      <color rgb="FF000000"/>
      <name val="Times New Roman"/>
      <family val="1"/>
      <charset val="163"/>
    </font>
    <font>
      <sz val="12"/>
      <color rgb="FF000000"/>
      <name val="Times New Roman"/>
      <family val="1"/>
      <charset val="163"/>
    </font>
    <font>
      <b/>
      <sz val="12"/>
      <name val="Times New Roman"/>
      <family val="1"/>
      <charset val="163"/>
    </font>
    <font>
      <sz val="12"/>
      <name val="Times New Roman"/>
      <family val="1"/>
      <charset val="163"/>
    </font>
    <font>
      <sz val="10"/>
      <name val="Arial"/>
      <family val="2"/>
      <charset val="163"/>
      <scheme val="minor"/>
    </font>
    <font>
      <b/>
      <sz val="10"/>
      <name val="Arial"/>
      <family val="2"/>
      <charset val="163"/>
      <scheme val="minor"/>
    </font>
    <font>
      <sz val="10"/>
      <name val="Arial"/>
      <family val="2"/>
      <scheme val="minor"/>
    </font>
    <font>
      <sz val="10"/>
      <color rgb="FF000000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4" fontId="6" fillId="0" borderId="0" xfId="0" applyNumberFormat="1" applyFont="1"/>
    <xf numFmtId="0" fontId="8" fillId="0" borderId="0" xfId="0" applyFont="1"/>
    <xf numFmtId="0" fontId="7" fillId="0" borderId="0" xfId="0" applyFont="1" applyAlignment="1">
      <alignment wrapText="1"/>
    </xf>
    <xf numFmtId="164" fontId="7" fillId="0" borderId="0" xfId="0" applyNumberFormat="1" applyFont="1"/>
    <xf numFmtId="164" fontId="8" fillId="0" borderId="0" xfId="0" applyNumberFormat="1" applyFont="1"/>
    <xf numFmtId="14" fontId="9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9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  <numFmt numFmtId="164" formatCode="000000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70C0"/>
        <name val="Times New Roman"/>
        <family val="1"/>
        <charset val="163"/>
        <scheme val="none"/>
      </font>
    </dxf>
    <dxf>
      <font>
        <strike val="0"/>
        <outline val="0"/>
        <shadow val="0"/>
        <u val="none"/>
        <vertAlign val="baseline"/>
        <sz val="12"/>
        <color auto="1"/>
        <name val="Times New Roman"/>
        <family val="1"/>
        <charset val="163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A86E8"/>
          <bgColor rgb="FF4A86E8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name="DROPLIST-style" pivot="0" count="4" xr9:uid="{00000000-0011-0000-FFFF-FFFF00000000}">
      <tableStyleElement type="wholeTable" size="0" dxfId="93"/>
      <tableStyleElement type="headerRow" dxfId="92"/>
      <tableStyleElement type="firstRowStripe" dxfId="91"/>
      <tableStyleElement type="secondRowStripe" dxfId="90"/>
    </tableStyle>
    <tableStyle name="DROPLIST-style 2" pivot="0" count="2" xr9:uid="{00000000-0011-0000-FFFF-FFFF01000000}">
      <tableStyleElement type="firstRowStripe" dxfId="89"/>
      <tableStyleElement type="secondRowStripe" dxfId="88"/>
    </tableStyle>
    <tableStyle name="CONTRACT_DATA-style" pivot="0" count="4" xr9:uid="{00000000-0011-0000-FFFF-FFFF02000000}">
      <tableStyleElement type="wholeTable" size="0" dxfId="87"/>
      <tableStyleElement type="headerRow" dxfId="86"/>
      <tableStyleElement type="firstRowStripe" dxfId="85"/>
      <tableStyleElement type="secondRowStripe" dxfId="84"/>
    </tableStyle>
    <tableStyle name="CONTRACT_APPENDIX-style" pivot="0" count="4" xr9:uid="{00000000-0011-0000-FFFF-FFFF03000000}">
      <tableStyleElement type="wholeTable" size="0" dxfId="83"/>
      <tableStyleElement type="headerRow" dxfId="82"/>
      <tableStyleElement type="firstRowStripe" dxfId="81"/>
      <tableStyleElement type="secondRowStripe" dxfId="80"/>
    </tableStyle>
    <tableStyle name="Mail_list-style" pivot="0" count="4" xr9:uid="{00000000-0011-0000-FFFF-FFFF04000000}">
      <tableStyleElement type="wholeTable" size="0" dxfId="79"/>
      <tableStyleElement type="headerRow" dxfId="78"/>
      <tableStyleElement type="firstRowStripe" dxfId="77"/>
      <tableStyleElement type="secondRowStripe" dxfId="76"/>
    </tableStyle>
    <tableStyle name="34 tỉnh thành-style" pivot="0" count="4" xr9:uid="{00000000-0011-0000-FFFF-FFFF05000000}">
      <tableStyleElement type="wholeTable" size="0" dxfId="75"/>
      <tableStyleElement type="headerRow" dxfId="74"/>
      <tableStyleElement type="firstRowStripe" dxfId="73"/>
      <tableStyleElement type="secondRowStripe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>
  <x18tc:person displayName="Chí Bảo Nguyễn" id="{621ff4dd-f519-4607-b084-b07f488cfe24}" providerId="google-sheets"/>
</x18tc: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54A60E-64C5-4E36-B427-84500A6156B5}" name="Table1" displayName="Table1" ref="A1:AA441" totalsRowShown="0" headerRowDxfId="71" dataDxfId="70">
  <autoFilter ref="A1:AA441" xr:uid="{BBD64A35-59BE-4C5B-98CE-CEB2638A054B}"/>
  <tableColumns count="27">
    <tableColumn id="1" xr3:uid="{BB7C8DF6-CB56-49A3-ACAB-7B0EE5E4AB6C}" name="contract date" dataDxfId="69"/>
    <tableColumn id="2" xr3:uid="{80DD6DA6-A0FE-4A43-A005-7DA94AE9D138}" name="contract_ID" dataDxfId="68"/>
    <tableColumn id="3" xr3:uid="{6D0E8FED-1EB9-4013-8F2C-EB84DC348AFC}" name="project_address" dataDxfId="67"/>
    <tableColumn id="4" xr3:uid="{696E534E-BD72-449F-B69D-8D5C5824E8FD}" name="province_old" dataDxfId="66"/>
    <tableColumn id="5" xr3:uid="{5A3EFACE-9679-4380-9EA3-0321227DF7D2}" name="province_new" dataDxfId="65">
      <calculatedColumnFormula>VLOOKUP(D2,'shipping inf'!B:D,2,FALSE)</calculatedColumnFormula>
    </tableColumn>
    <tableColumn id="6" xr3:uid="{E4F5077E-DA8B-4BCF-9E16-23FD7979E06D}" name="customer_ID" dataDxfId="64"/>
    <tableColumn id="7" xr3:uid="{A88B0FFD-B97B-41FD-B769-DFA122F75970}" name="contract_duration" dataDxfId="63"/>
    <tableColumn id="8" xr3:uid="{08A695C0-281C-4583-B93E-10880587B70D}" name="project_ID" dataDxfId="62"/>
    <tableColumn id="9" xr3:uid="{F19FDB97-A779-4C73-A583-E5D3A34FA48B}" name="saleman_ID" dataDxfId="61"/>
    <tableColumn id="10" xr3:uid="{47D7782D-831F-41ED-BC48-42E85519B55A}" name="warranty_period_months" dataDxfId="60"/>
    <tableColumn id="11" xr3:uid="{6959AC1C-3547-46FC-845A-7C10F48E4735}" name="maintenance_period_months" dataDxfId="59"/>
    <tableColumn id="12" xr3:uid="{8A9FC168-5650-4FA4-95E8-AAEE3DCF0D13}" name="contract_source" dataDxfId="58"/>
    <tableColumn id="13" xr3:uid="{E7C49A0D-CD45-4539-933A-7DF25A4AEEAC}" name="elevator_brand" dataDxfId="57"/>
    <tableColumn id="27" xr3:uid="{F6E904CB-F347-4A5C-B45F-94EE7094C044}" name="product_ID" dataDxfId="11">
      <calculatedColumnFormula>VLOOKUP(Table1[[#This Row],[elevator_traction_machine]],'Product inf'!A:B,2,FALSE)</calculatedColumnFormula>
    </tableColumn>
    <tableColumn id="14" xr3:uid="{4A3C468B-2741-4551-B1DC-B3F5887D94EB}" name="shaft_type" dataDxfId="56"/>
    <tableColumn id="15" xr3:uid="{E379AFDD-380E-4EDD-BAC9-77D831FE9ED6}" name="elevator_type" dataDxfId="55"/>
    <tableColumn id="16" xr3:uid="{BCE81FC9-E2F7-4C4A-A007-3D1354144BC1}" name="elevator_traction_machine" dataDxfId="54"/>
    <tableColumn id="17" xr3:uid="{5C1682D7-1F98-4280-976E-D231776DEDC2}" name="control_system" dataDxfId="53"/>
    <tableColumn id="18" xr3:uid="{301C2865-4EDD-4D12-9530-D737492A81D8}" name="contract_value_before_tax" dataDxfId="52"/>
    <tableColumn id="19" xr3:uid="{9F638D86-3593-4B43-9906-15770B47E633}" name="contract_vat_amount" dataDxfId="51"/>
    <tableColumn id="20" xr3:uid="{406A08FD-241C-4ED7-9D67-830240C3BB92}" name="contract_value_after_tax" dataDxfId="50"/>
    <tableColumn id="21" xr3:uid="{2788A0AE-8242-412F-A1FE-F6D24D4A64F7}" name="net_price" dataDxfId="49"/>
    <tableColumn id="22" xr3:uid="{B8F80180-CC65-48A7-A526-12DDF2B9FED8}" name="discount" dataDxfId="48"/>
    <tableColumn id="23" xr3:uid="{3ACB38B1-6453-40EA-9000-866A6AA8BAE6}" name="customer_commission" dataDxfId="47"/>
    <tableColumn id="24" xr3:uid="{B8AC5DDC-8B88-4AB6-B3B6-5DAA8EB7EEBB}" name="sales_commission" dataDxfId="46"/>
    <tableColumn id="25" xr3:uid="{28D0C711-D1F8-4107-907B-D4466350D3C0}" name="import_date" dataDxfId="45"/>
    <tableColumn id="26" xr3:uid="{A7283648-58A2-407E-98FA-03E7ECC6C962}" name="import_staff" dataDxfId="0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FDD406-3BC6-41A9-8592-F53AB8D7CEE5}" name="Table2" displayName="Table2" ref="A1:H244" totalsRowShown="0" headerRowDxfId="44" dataDxfId="43">
  <autoFilter ref="A1:H244" xr:uid="{9AFDD406-3BC6-41A9-8592-F53AB8D7CEE5}"/>
  <tableColumns count="8">
    <tableColumn id="1" xr3:uid="{0E0F746B-78DA-4BA6-9F2F-3A50DA981799}" name="Appendix_date" dataDxfId="42"/>
    <tableColumn id="2" xr3:uid="{0DFFFB99-96E8-41C1-9499-AA99DFEE44B5}" name="appendix_sequence" dataDxfId="41"/>
    <tableColumn id="3" xr3:uid="{A06262C0-8964-44D8-B39C-1F43E78718F1}" name="contract_ID" dataDxfId="40"/>
    <tableColumn id="8" xr3:uid="{443D4C25-B09D-4B1C-9F68-A953EA2F2362}" name="customer_ID" dataDxfId="39">
      <calculatedColumnFormula>VLOOKUP(Table2[[#This Row],[contract_ID]],'Contract data'!B:F,5,FALSE)</calculatedColumnFormula>
    </tableColumn>
    <tableColumn id="4" xr3:uid="{A1297242-3A49-43B2-9B2C-CD242C70662F}" name="appendix_value_before_tax" dataDxfId="38"/>
    <tableColumn id="5" xr3:uid="{A764B4C4-8A6A-4A60-A9AB-D210921A02C0}" name="appendix_vat_amountuế GTGT" dataDxfId="37"/>
    <tableColumn id="6" xr3:uid="{F8B08CF4-5F4D-4CFA-B9A9-D53C4C87FE67}" name="appendix_value_after_tax" dataDxfId="36"/>
    <tableColumn id="7" xr3:uid="{B315F1F0-8D1A-4E45-80A4-A99AC28F6914}" name="appendix_type" dataDxfId="35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C05548-A6AC-4BC3-8B93-5A23B5024136}" name="Table3" displayName="Table3" ref="A1:D399" totalsRowShown="0" headerRowDxfId="34" dataDxfId="33">
  <autoFilter ref="A1:D399" xr:uid="{52C05548-A6AC-4BC3-8B93-5A23B5024136}">
    <filterColumn colId="2">
      <filters>
        <filter val="company"/>
      </filters>
    </filterColumn>
  </autoFilter>
  <tableColumns count="4">
    <tableColumn id="2" xr3:uid="{F528D6D9-38A3-4FF8-89BC-36C04231C847}" name="customer_name" dataDxfId="32"/>
    <tableColumn id="3" xr3:uid="{ED866323-1B36-4739-A2E5-3EA9EA95A4C2}" name="customer_ID" dataDxfId="31"/>
    <tableColumn id="4" xr3:uid="{729FE1BE-E48B-45CC-B231-438F632D6387}" name="customer_type" dataDxfId="30"/>
    <tableColumn id="5" xr3:uid="{D1A50519-DD90-49D2-A540-CACFF3C0A3CF}" name="customer_phone" dataDxfId="29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EFAC388-02C7-48D1-B89A-900E40305E02}" name="Table4" displayName="Table4" ref="A1:E64" totalsRowShown="0" headerRowDxfId="28" dataDxfId="27">
  <autoFilter ref="A1:E64" xr:uid="{BD9AB10A-D2BB-4584-84A2-5759C394231E}"/>
  <tableColumns count="5">
    <tableColumn id="1" xr3:uid="{6866E1F1-0383-41E2-95AF-DF1F3B3D2767}" name="region" dataDxfId="26"/>
    <tableColumn id="2" xr3:uid="{726A97D6-FCF0-45E6-BCF6-C38310196B2D}" name="province_old" dataDxfId="25"/>
    <tableColumn id="3" xr3:uid="{EDF6A3B2-819A-43BE-B1BA-4A6A7BBB837B}" name="province_new" dataDxfId="24"/>
    <tableColumn id="4" xr3:uid="{FC66054B-CF22-4C59-A54A-13E098D1DF5E}" name="area_type" dataDxfId="23"/>
    <tableColumn id="5" xr3:uid="{9F8F60B6-C215-4AC7-93B3-F5A85788D671}" name="shipping_cost" dataDxfId="22"/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1E51AF-2A0F-4F2F-8C92-0B9043A4EC24}" name="Table5" displayName="Table5" ref="A1:C16" totalsRowShown="0" headerRowDxfId="21" dataDxfId="20">
  <autoFilter ref="A1:C16" xr:uid="{932305E1-2823-4984-BFA8-1C1EBB18C89B}"/>
  <tableColumns count="3">
    <tableColumn id="2" xr3:uid="{892E0546-6D44-44B8-94DA-B32A2CF14923}" name="product_name" dataDxfId="19"/>
    <tableColumn id="3" xr3:uid="{68591453-4C79-4B90-B7FE-5AF4B5261205}" name="product_ID" dataDxfId="18"/>
    <tableColumn id="4" xr3:uid="{12F2067C-C301-4443-85AC-F9991DCB1F75}" name="product_origin" dataDxfId="17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BD1663-0299-4CF0-B205-8341C82C8D46}" name="Table6" displayName="Table6" ref="A1:C22" totalsRowShown="0" headerRowDxfId="16" dataDxfId="15">
  <autoFilter ref="A1:C22" xr:uid="{DABD1663-0299-4CF0-B205-8341C82C8D46}"/>
  <tableColumns count="3">
    <tableColumn id="2" xr3:uid="{E41111D1-4E15-408C-A802-0934BADC1664}" name="Saleman_name" dataDxfId="14"/>
    <tableColumn id="3" xr3:uid="{02384360-A461-4E27-96D2-44580CD70962}" name="posision" dataDxfId="13"/>
    <tableColumn id="4" xr3:uid="{107FEDB3-8CD6-4A2E-9202-A6B71A25A31D}" name="saleman_ID" dataDxfId="12"/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2F3E8C5-30B1-41C1-AD24-22E3E270B30E}" name="Table9" displayName="Table9" ref="A1:F757" totalsRowShown="0" headerRowDxfId="4" dataDxfId="5">
  <autoFilter ref="A1:F757" xr:uid="{92F3E8C5-30B1-41C1-AD24-22E3E270B30E}"/>
  <tableColumns count="6">
    <tableColumn id="1" xr3:uid="{107196B5-F53E-472F-8D73-3F631E2C99DC}" name="Saleman_name" dataDxfId="10"/>
    <tableColumn id="2" xr3:uid="{5F4DB41D-3872-4387-9D30-797772E29D68}" name="saleman_ID" dataDxfId="9"/>
    <tableColumn id="3" xr3:uid="{6C68C702-9A59-4901-9E82-E195DC87E750}" name="Month" dataDxfId="8"/>
    <tableColumn id="4" xr3:uid="{AB6FF69F-47F9-4BF8-9F64-18BBD3B14F6A}" name="Year" dataDxfId="7"/>
    <tableColumn id="6" xr3:uid="{AAEF15E9-62D9-4925-9492-4C11587F9E3B}" name="import_staff" dataDxfId="1"/>
    <tableColumn id="5" xr3:uid="{2D48198F-96D1-4C44-AF67-35AC1EC57E23}" name="KPI_units" dataDxfId="6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4A35-59BE-4C5B-98CE-CEB2638A054B}">
  <sheetPr>
    <tabColor rgb="FFFFD966"/>
  </sheetPr>
  <dimension ref="A1:AA441"/>
  <sheetViews>
    <sheetView topLeftCell="R1" zoomScale="120" zoomScaleNormal="120" workbookViewId="0">
      <selection activeCell="Z9" sqref="Z9"/>
    </sheetView>
  </sheetViews>
  <sheetFormatPr defaultColWidth="8.85546875" defaultRowHeight="15.75" x14ac:dyDescent="0.25"/>
  <cols>
    <col min="1" max="1" width="16" style="8" bestFit="1" customWidth="1"/>
    <col min="2" max="2" width="18.85546875" style="6" bestFit="1" customWidth="1"/>
    <col min="3" max="3" width="113.28515625" style="6" bestFit="1" customWidth="1"/>
    <col min="4" max="4" width="21.28515625" style="6" bestFit="1" customWidth="1"/>
    <col min="5" max="5" width="16.5703125" style="6" bestFit="1" customWidth="1"/>
    <col min="6" max="6" width="15.85546875" style="6" bestFit="1" customWidth="1"/>
    <col min="7" max="7" width="20.7109375" style="6" bestFit="1" customWidth="1"/>
    <col min="8" max="8" width="13.85546875" style="6" bestFit="1" customWidth="1"/>
    <col min="9" max="9" width="15.140625" style="6" bestFit="1" customWidth="1"/>
    <col min="10" max="10" width="27.85546875" style="6" bestFit="1" customWidth="1"/>
    <col min="11" max="11" width="31.28515625" style="6" bestFit="1" customWidth="1"/>
    <col min="12" max="12" width="25.7109375" style="6" bestFit="1" customWidth="1"/>
    <col min="13" max="13" width="17.85546875" style="6" bestFit="1" customWidth="1"/>
    <col min="14" max="14" width="17.85546875" style="6" customWidth="1"/>
    <col min="15" max="15" width="13.28515625" style="6" bestFit="1" customWidth="1"/>
    <col min="16" max="16" width="16.5703125" style="6" bestFit="1" customWidth="1"/>
    <col min="17" max="17" width="29.42578125" style="6" bestFit="1" customWidth="1"/>
    <col min="18" max="18" width="31.85546875" style="6" bestFit="1" customWidth="1"/>
    <col min="19" max="19" width="29.42578125" style="6" bestFit="1" customWidth="1"/>
    <col min="20" max="20" width="24" style="6" bestFit="1" customWidth="1"/>
    <col min="21" max="21" width="27.7109375" style="6" bestFit="1" customWidth="1"/>
    <col min="22" max="22" width="12.42578125" style="6" bestFit="1" customWidth="1"/>
    <col min="23" max="23" width="11.140625" style="6" bestFit="1" customWidth="1"/>
    <col min="24" max="24" width="24.85546875" style="6" bestFit="1" customWidth="1"/>
    <col min="25" max="25" width="20.5703125" style="6" bestFit="1" customWidth="1"/>
    <col min="26" max="26" width="14.85546875" style="8" bestFit="1" customWidth="1"/>
    <col min="27" max="27" width="14.85546875" style="6" bestFit="1" customWidth="1"/>
    <col min="28" max="16384" width="8.85546875" style="9"/>
  </cols>
  <sheetData>
    <row r="1" spans="1:27" s="14" customFormat="1" x14ac:dyDescent="0.25">
      <c r="A1" s="13" t="s">
        <v>1388</v>
      </c>
      <c r="B1" s="13" t="s">
        <v>1389</v>
      </c>
      <c r="C1" s="14" t="s">
        <v>1387</v>
      </c>
      <c r="D1" s="15" t="s">
        <v>1843</v>
      </c>
      <c r="E1" s="15" t="s">
        <v>1844</v>
      </c>
      <c r="F1" s="14" t="s">
        <v>1283</v>
      </c>
      <c r="G1" s="15" t="s">
        <v>1390</v>
      </c>
      <c r="H1" s="14" t="s">
        <v>1863</v>
      </c>
      <c r="I1" s="14" t="s">
        <v>1864</v>
      </c>
      <c r="J1" s="15" t="s">
        <v>1831</v>
      </c>
      <c r="K1" s="15" t="s">
        <v>1832</v>
      </c>
      <c r="L1" s="14" t="s">
        <v>1833</v>
      </c>
      <c r="M1" s="14" t="s">
        <v>1834</v>
      </c>
      <c r="N1" s="14" t="s">
        <v>1379</v>
      </c>
      <c r="O1" s="15" t="s">
        <v>1835</v>
      </c>
      <c r="P1" s="15" t="s">
        <v>1836</v>
      </c>
      <c r="Q1" s="14" t="s">
        <v>1837</v>
      </c>
      <c r="R1" s="14" t="s">
        <v>1838</v>
      </c>
      <c r="S1" s="15" t="s">
        <v>1839</v>
      </c>
      <c r="T1" s="15" t="s">
        <v>1854</v>
      </c>
      <c r="U1" s="15" t="s">
        <v>1840</v>
      </c>
      <c r="V1" s="15" t="s">
        <v>1391</v>
      </c>
      <c r="W1" s="14" t="s">
        <v>1848</v>
      </c>
      <c r="X1" s="15" t="s">
        <v>1849</v>
      </c>
      <c r="Y1" s="15" t="s">
        <v>1850</v>
      </c>
      <c r="Z1" s="13" t="s">
        <v>1851</v>
      </c>
      <c r="AA1" s="14" t="s">
        <v>1852</v>
      </c>
    </row>
    <row r="2" spans="1:27" x14ac:dyDescent="0.25">
      <c r="A2" s="8">
        <v>45500</v>
      </c>
      <c r="B2" s="6" t="s">
        <v>158</v>
      </c>
      <c r="C2" s="6" t="s">
        <v>1392</v>
      </c>
      <c r="D2" s="6" t="s">
        <v>36</v>
      </c>
      <c r="E2" s="6" t="str">
        <f>VLOOKUP(D2,'shipping inf'!B:D,2,FALSE)</f>
        <v>TP Hồ Chí Minh</v>
      </c>
      <c r="F2" s="6" t="s">
        <v>532</v>
      </c>
      <c r="G2" s="6">
        <v>120</v>
      </c>
      <c r="H2" s="6">
        <v>2411000101</v>
      </c>
      <c r="I2" s="6" t="s">
        <v>1368</v>
      </c>
      <c r="J2" s="6">
        <v>24</v>
      </c>
      <c r="K2" s="6">
        <v>24</v>
      </c>
      <c r="L2" s="6" t="s">
        <v>15</v>
      </c>
      <c r="M2" s="6" t="s">
        <v>37</v>
      </c>
      <c r="N2" s="6" t="str">
        <f>VLOOKUP(Table1[[#This Row],[elevator_traction_machine]],'Product inf'!A:B,2,FALSE)</f>
        <v>SP015</v>
      </c>
      <c r="O2" s="6" t="s">
        <v>3</v>
      </c>
      <c r="P2" s="6" t="s">
        <v>9</v>
      </c>
      <c r="Q2" s="6" t="s">
        <v>70</v>
      </c>
      <c r="R2" s="6" t="s">
        <v>68</v>
      </c>
      <c r="S2" s="6">
        <v>415000000</v>
      </c>
      <c r="U2" s="6">
        <v>415000000</v>
      </c>
      <c r="V2" s="6">
        <v>476800000</v>
      </c>
      <c r="Y2" s="6">
        <v>7000000</v>
      </c>
      <c r="Z2" s="8">
        <v>45500</v>
      </c>
      <c r="AA2" s="6" t="s">
        <v>2010</v>
      </c>
    </row>
    <row r="3" spans="1:27" x14ac:dyDescent="0.25">
      <c r="A3" s="8">
        <v>45306</v>
      </c>
      <c r="B3" s="6" t="s">
        <v>74</v>
      </c>
      <c r="C3" s="6" t="s">
        <v>1393</v>
      </c>
      <c r="D3" s="6" t="s">
        <v>36</v>
      </c>
      <c r="E3" s="6" t="str">
        <f>VLOOKUP(D3,'shipping inf'!B:D,2,FALSE)</f>
        <v>TP Hồ Chí Minh</v>
      </c>
      <c r="F3" s="6" t="s">
        <v>533</v>
      </c>
      <c r="G3" s="6">
        <v>75</v>
      </c>
      <c r="H3" s="6">
        <v>2410100101</v>
      </c>
      <c r="I3" s="6" t="s">
        <v>1375</v>
      </c>
      <c r="J3" s="6">
        <v>24</v>
      </c>
      <c r="K3" s="6">
        <v>24</v>
      </c>
      <c r="L3" s="6" t="s">
        <v>2</v>
      </c>
      <c r="M3" s="6" t="s">
        <v>37</v>
      </c>
      <c r="N3" s="6" t="str">
        <f>VLOOKUP(Table1[[#This Row],[elevator_traction_machine]],'Product inf'!A:B,2,FALSE)</f>
        <v>SP006</v>
      </c>
      <c r="O3" s="6" t="s">
        <v>8</v>
      </c>
      <c r="P3" s="6" t="s">
        <v>9</v>
      </c>
      <c r="Q3" s="6" t="s">
        <v>67</v>
      </c>
      <c r="R3" s="6" t="s">
        <v>68</v>
      </c>
      <c r="S3" s="6">
        <v>440000000</v>
      </c>
      <c r="U3" s="6">
        <v>440000000</v>
      </c>
      <c r="Y3" s="6">
        <v>7557500</v>
      </c>
      <c r="Z3" s="8">
        <v>45309</v>
      </c>
      <c r="AA3" s="6" t="s">
        <v>1891</v>
      </c>
    </row>
    <row r="4" spans="1:27" x14ac:dyDescent="0.25">
      <c r="A4" s="8">
        <v>45671</v>
      </c>
      <c r="B4" s="6" t="s">
        <v>247</v>
      </c>
      <c r="C4" s="6" t="s">
        <v>1394</v>
      </c>
      <c r="D4" s="6" t="s">
        <v>36</v>
      </c>
      <c r="E4" s="6" t="str">
        <f>VLOOKUP(D4,'shipping inf'!B:D,2,FALSE)</f>
        <v>TP Hồ Chí Minh</v>
      </c>
      <c r="F4" s="6" t="s">
        <v>534</v>
      </c>
      <c r="G4" s="6">
        <v>90</v>
      </c>
      <c r="H4" s="6">
        <v>2510100101</v>
      </c>
      <c r="I4" s="6" t="s">
        <v>1375</v>
      </c>
      <c r="J4" s="6">
        <v>24</v>
      </c>
      <c r="K4" s="6">
        <v>12</v>
      </c>
      <c r="L4" s="6" t="s">
        <v>2</v>
      </c>
      <c r="M4" s="6" t="s">
        <v>37</v>
      </c>
      <c r="N4" s="6" t="str">
        <f>VLOOKUP(Table1[[#This Row],[elevator_traction_machine]],'Product inf'!A:B,2,FALSE)</f>
        <v>SP006</v>
      </c>
      <c r="O4" s="6" t="s">
        <v>3</v>
      </c>
      <c r="P4" s="6" t="s">
        <v>9</v>
      </c>
      <c r="Q4" s="6" t="s">
        <v>67</v>
      </c>
      <c r="R4" s="6" t="s">
        <v>68</v>
      </c>
      <c r="S4" s="6">
        <v>372000000</v>
      </c>
      <c r="U4" s="6">
        <v>372000000</v>
      </c>
      <c r="V4" s="6">
        <v>367000000</v>
      </c>
      <c r="Y4" s="6">
        <v>5220000</v>
      </c>
      <c r="Z4" s="8">
        <v>45671</v>
      </c>
      <c r="AA4" s="6" t="s">
        <v>2143</v>
      </c>
    </row>
    <row r="5" spans="1:27" x14ac:dyDescent="0.25">
      <c r="A5" s="8">
        <v>46079</v>
      </c>
      <c r="B5" s="6" t="s">
        <v>493</v>
      </c>
      <c r="C5" s="6" t="s">
        <v>1395</v>
      </c>
      <c r="D5" s="6" t="s">
        <v>44</v>
      </c>
      <c r="E5" s="6" t="str">
        <f>VLOOKUP(D5,'shipping inf'!B:D,2,FALSE)</f>
        <v>Lâm Đồng</v>
      </c>
      <c r="F5" s="6" t="s">
        <v>535</v>
      </c>
      <c r="G5" s="6">
        <v>90</v>
      </c>
      <c r="H5" s="6">
        <v>2610100101</v>
      </c>
      <c r="I5" s="6" t="s">
        <v>1376</v>
      </c>
      <c r="J5" s="6">
        <v>24</v>
      </c>
      <c r="K5" s="6">
        <v>24</v>
      </c>
      <c r="L5" s="6" t="s">
        <v>2</v>
      </c>
      <c r="M5" s="6" t="s">
        <v>37</v>
      </c>
      <c r="N5" s="6" t="str">
        <f>VLOOKUP(Table1[[#This Row],[elevator_traction_machine]],'Product inf'!A:B,2,FALSE)</f>
        <v>SP006</v>
      </c>
      <c r="O5" s="6" t="s">
        <v>8</v>
      </c>
      <c r="P5" s="6" t="s">
        <v>9</v>
      </c>
      <c r="Q5" s="6" t="s">
        <v>67</v>
      </c>
      <c r="R5" s="6" t="s">
        <v>68</v>
      </c>
      <c r="S5" s="6">
        <v>400000000</v>
      </c>
      <c r="U5" s="6">
        <v>400000000</v>
      </c>
      <c r="V5" s="6">
        <v>400000000</v>
      </c>
      <c r="Z5" s="8">
        <v>46087</v>
      </c>
      <c r="AA5" s="6" t="s">
        <v>2417</v>
      </c>
    </row>
    <row r="6" spans="1:27" x14ac:dyDescent="0.25">
      <c r="A6" s="8">
        <v>45320</v>
      </c>
      <c r="B6" s="6" t="s">
        <v>78</v>
      </c>
      <c r="C6" s="6" t="s">
        <v>1396</v>
      </c>
      <c r="D6" s="6" t="s">
        <v>36</v>
      </c>
      <c r="E6" s="6" t="str">
        <f>VLOOKUP(D6,'shipping inf'!B:D,2,FALSE)</f>
        <v>TP Hồ Chí Minh</v>
      </c>
      <c r="F6" s="6" t="s">
        <v>536</v>
      </c>
      <c r="G6" s="6">
        <v>60</v>
      </c>
      <c r="H6" s="6">
        <v>2410100201</v>
      </c>
      <c r="I6" s="6" t="s">
        <v>1375</v>
      </c>
      <c r="J6" s="6">
        <v>24</v>
      </c>
      <c r="K6" s="6">
        <v>12</v>
      </c>
      <c r="L6" s="6" t="s">
        <v>2</v>
      </c>
      <c r="M6" s="6" t="s">
        <v>37</v>
      </c>
      <c r="N6" s="6" t="str">
        <f>VLOOKUP(Table1[[#This Row],[elevator_traction_machine]],'Product inf'!A:B,2,FALSE)</f>
        <v>SP006</v>
      </c>
      <c r="O6" s="6" t="s">
        <v>8</v>
      </c>
      <c r="P6" s="6" t="s">
        <v>9</v>
      </c>
      <c r="Q6" s="6" t="s">
        <v>67</v>
      </c>
      <c r="R6" s="6" t="s">
        <v>68</v>
      </c>
      <c r="S6" s="6">
        <v>1039200000</v>
      </c>
      <c r="T6" s="6">
        <v>41568000</v>
      </c>
      <c r="U6" s="6">
        <v>1080768000</v>
      </c>
      <c r="Y6" s="6">
        <v>12392000</v>
      </c>
      <c r="Z6" s="8">
        <v>45329</v>
      </c>
      <c r="AA6" s="6" t="s">
        <v>1891</v>
      </c>
    </row>
    <row r="7" spans="1:27" x14ac:dyDescent="0.25">
      <c r="A7" s="8">
        <v>45714</v>
      </c>
      <c r="B7" s="6" t="s">
        <v>270</v>
      </c>
      <c r="C7" s="6" t="s">
        <v>1397</v>
      </c>
      <c r="D7" s="6" t="s">
        <v>36</v>
      </c>
      <c r="E7" s="6" t="str">
        <f>VLOOKUP(D7,'shipping inf'!B:D,2,FALSE)</f>
        <v>TP Hồ Chí Minh</v>
      </c>
      <c r="F7" s="6" t="s">
        <v>537</v>
      </c>
      <c r="G7" s="6">
        <v>150</v>
      </c>
      <c r="H7" s="6">
        <v>2510100201</v>
      </c>
      <c r="I7" s="6" t="s">
        <v>1375</v>
      </c>
      <c r="J7" s="6">
        <v>24</v>
      </c>
      <c r="K7" s="6">
        <v>12</v>
      </c>
      <c r="L7" s="6" t="s">
        <v>2</v>
      </c>
      <c r="M7" s="6" t="s">
        <v>37</v>
      </c>
      <c r="N7" s="6" t="str">
        <f>VLOOKUP(Table1[[#This Row],[elevator_traction_machine]],'Product inf'!A:B,2,FALSE)</f>
        <v>SP006</v>
      </c>
      <c r="O7" s="6" t="s">
        <v>3</v>
      </c>
      <c r="P7" s="6" t="s">
        <v>9</v>
      </c>
      <c r="Q7" s="6" t="s">
        <v>67</v>
      </c>
      <c r="R7" s="6" t="s">
        <v>68</v>
      </c>
      <c r="S7" s="6">
        <v>390000000</v>
      </c>
      <c r="U7" s="6">
        <v>390000000</v>
      </c>
      <c r="V7" s="6">
        <v>373000000</v>
      </c>
      <c r="X7" s="6">
        <v>0</v>
      </c>
      <c r="Y7" s="6">
        <v>5400000</v>
      </c>
      <c r="Z7" s="8">
        <v>45726</v>
      </c>
      <c r="AA7" s="6" t="s">
        <v>2164</v>
      </c>
    </row>
    <row r="8" spans="1:27" x14ac:dyDescent="0.25">
      <c r="A8" s="8">
        <v>46058</v>
      </c>
      <c r="B8" s="6" t="s">
        <v>484</v>
      </c>
      <c r="C8" s="6" t="s">
        <v>1398</v>
      </c>
      <c r="D8" s="6" t="s">
        <v>36</v>
      </c>
      <c r="E8" s="6" t="str">
        <f>VLOOKUP(D8,'shipping inf'!B:D,2,FALSE)</f>
        <v>TP Hồ Chí Minh</v>
      </c>
      <c r="F8" s="6" t="s">
        <v>538</v>
      </c>
      <c r="G8" s="6">
        <v>90</v>
      </c>
      <c r="H8" s="6">
        <v>2610100201</v>
      </c>
      <c r="I8" s="6" t="s">
        <v>1375</v>
      </c>
      <c r="J8" s="6">
        <v>24</v>
      </c>
      <c r="K8" s="6">
        <v>24</v>
      </c>
      <c r="L8" s="6" t="s">
        <v>2</v>
      </c>
      <c r="M8" s="6" t="s">
        <v>37</v>
      </c>
      <c r="N8" s="6" t="str">
        <f>VLOOKUP(Table1[[#This Row],[elevator_traction_machine]],'Product inf'!A:B,2,FALSE)</f>
        <v>SP006</v>
      </c>
      <c r="O8" s="6" t="s">
        <v>3</v>
      </c>
      <c r="P8" s="6" t="s">
        <v>9</v>
      </c>
      <c r="Q8" s="6" t="s">
        <v>67</v>
      </c>
      <c r="R8" s="6" t="s">
        <v>68</v>
      </c>
      <c r="S8" s="6">
        <v>557000000</v>
      </c>
      <c r="U8" s="6">
        <v>557000000</v>
      </c>
      <c r="V8" s="6">
        <v>556000000</v>
      </c>
      <c r="Z8" s="8">
        <v>46059</v>
      </c>
      <c r="AA8" s="6" t="s">
        <v>2416</v>
      </c>
    </row>
    <row r="9" spans="1:27" x14ac:dyDescent="0.25">
      <c r="A9" s="8">
        <v>45353</v>
      </c>
      <c r="B9" s="6" t="s">
        <v>83</v>
      </c>
      <c r="C9" s="6" t="s">
        <v>1399</v>
      </c>
      <c r="D9" s="6" t="s">
        <v>36</v>
      </c>
      <c r="E9" s="6" t="str">
        <f>VLOOKUP(D9,'shipping inf'!B:D,2,FALSE)</f>
        <v>TP Hồ Chí Minh</v>
      </c>
      <c r="F9" s="6" t="s">
        <v>539</v>
      </c>
      <c r="G9" s="6">
        <v>70</v>
      </c>
      <c r="H9" s="6">
        <v>2410100301</v>
      </c>
      <c r="I9" s="6" t="s">
        <v>1375</v>
      </c>
      <c r="J9" s="6">
        <v>24</v>
      </c>
      <c r="K9" s="6">
        <v>12</v>
      </c>
      <c r="L9" s="6" t="s">
        <v>2</v>
      </c>
      <c r="M9" s="6" t="s">
        <v>37</v>
      </c>
      <c r="N9" s="6" t="str">
        <f>VLOOKUP(Table1[[#This Row],[elevator_traction_machine]],'Product inf'!A:B,2,FALSE)</f>
        <v>SP015</v>
      </c>
      <c r="O9" s="6" t="s">
        <v>3</v>
      </c>
      <c r="P9" s="6" t="s">
        <v>9</v>
      </c>
      <c r="Q9" s="6" t="s">
        <v>70</v>
      </c>
      <c r="R9" s="6" t="s">
        <v>68</v>
      </c>
      <c r="S9" s="6">
        <v>454000000</v>
      </c>
      <c r="T9" s="6">
        <v>20000000</v>
      </c>
      <c r="U9" s="6">
        <v>474000000</v>
      </c>
      <c r="Y9" s="6">
        <v>5540000</v>
      </c>
      <c r="Z9" s="8">
        <v>45360</v>
      </c>
      <c r="AA9" s="6" t="s">
        <v>1933</v>
      </c>
    </row>
    <row r="10" spans="1:27" x14ac:dyDescent="0.25">
      <c r="A10" s="8">
        <v>45419</v>
      </c>
      <c r="B10" s="6" t="s">
        <v>103</v>
      </c>
      <c r="C10" s="6" t="s">
        <v>1400</v>
      </c>
      <c r="D10" s="6" t="s">
        <v>36</v>
      </c>
      <c r="E10" s="6" t="str">
        <f>VLOOKUP(D10,'shipping inf'!B:D,2,FALSE)</f>
        <v>TP Hồ Chí Minh</v>
      </c>
      <c r="F10" s="6" t="s">
        <v>540</v>
      </c>
      <c r="G10" s="6">
        <v>120</v>
      </c>
      <c r="H10" s="6">
        <v>2410100401</v>
      </c>
      <c r="I10" s="6" t="s">
        <v>1375</v>
      </c>
      <c r="J10" s="6">
        <v>24</v>
      </c>
      <c r="K10" s="6">
        <v>12</v>
      </c>
      <c r="L10" s="6" t="s">
        <v>2</v>
      </c>
      <c r="M10" s="6" t="s">
        <v>37</v>
      </c>
      <c r="N10" s="6" t="str">
        <f>VLOOKUP(Table1[[#This Row],[elevator_traction_machine]],'Product inf'!A:B,2,FALSE)</f>
        <v>SP015</v>
      </c>
      <c r="O10" s="6" t="s">
        <v>3</v>
      </c>
      <c r="P10" s="6" t="s">
        <v>9</v>
      </c>
      <c r="Q10" s="6" t="s">
        <v>70</v>
      </c>
      <c r="R10" s="6" t="s">
        <v>68</v>
      </c>
      <c r="S10" s="6">
        <v>425000000</v>
      </c>
      <c r="U10" s="6">
        <v>425000000</v>
      </c>
      <c r="X10" s="6">
        <v>3000000</v>
      </c>
      <c r="Y10" s="6">
        <v>5250000</v>
      </c>
      <c r="Z10" s="8">
        <v>45420</v>
      </c>
      <c r="AA10" s="6" t="s">
        <v>1975</v>
      </c>
    </row>
    <row r="11" spans="1:27" x14ac:dyDescent="0.25">
      <c r="A11" s="8">
        <v>45721</v>
      </c>
      <c r="B11" s="6" t="s">
        <v>266</v>
      </c>
      <c r="C11" s="6" t="s">
        <v>1401</v>
      </c>
      <c r="D11" s="6" t="s">
        <v>36</v>
      </c>
      <c r="E11" s="6" t="str">
        <f>VLOOKUP(D11,'shipping inf'!B:D,2,FALSE)</f>
        <v>TP Hồ Chí Minh</v>
      </c>
      <c r="F11" s="6" t="s">
        <v>541</v>
      </c>
      <c r="G11" s="6">
        <v>120</v>
      </c>
      <c r="H11" s="6">
        <v>2510100401</v>
      </c>
      <c r="I11" s="6" t="s">
        <v>1375</v>
      </c>
      <c r="J11" s="6">
        <v>24</v>
      </c>
      <c r="K11" s="6">
        <v>24</v>
      </c>
      <c r="L11" s="6" t="s">
        <v>2</v>
      </c>
      <c r="M11" s="6" t="s">
        <v>37</v>
      </c>
      <c r="N11" s="6" t="str">
        <f>VLOOKUP(Table1[[#This Row],[elevator_traction_machine]],'Product inf'!A:B,2,FALSE)</f>
        <v>SP015</v>
      </c>
      <c r="O11" s="6" t="s">
        <v>3</v>
      </c>
      <c r="P11" s="6" t="s">
        <v>9</v>
      </c>
      <c r="Q11" s="6" t="s">
        <v>70</v>
      </c>
      <c r="R11" s="6" t="s">
        <v>267</v>
      </c>
      <c r="S11" s="6">
        <v>355000000</v>
      </c>
      <c r="U11" s="6">
        <v>355000000</v>
      </c>
      <c r="V11" s="6">
        <v>350000000</v>
      </c>
      <c r="X11" s="6">
        <v>0</v>
      </c>
      <c r="Y11" s="6">
        <v>5050000</v>
      </c>
      <c r="Z11" s="8">
        <v>45724</v>
      </c>
      <c r="AA11" s="6" t="s">
        <v>2185</v>
      </c>
    </row>
    <row r="12" spans="1:27" x14ac:dyDescent="0.25">
      <c r="A12" s="8">
        <v>46055</v>
      </c>
      <c r="B12" s="6" t="s">
        <v>487</v>
      </c>
      <c r="C12" s="6" t="s">
        <v>1402</v>
      </c>
      <c r="D12" s="6" t="s">
        <v>36</v>
      </c>
      <c r="E12" s="6" t="str">
        <f>VLOOKUP(D12,'shipping inf'!B:D,2,FALSE)</f>
        <v>TP Hồ Chí Minh</v>
      </c>
      <c r="F12" s="6" t="s">
        <v>542</v>
      </c>
      <c r="G12" s="6">
        <v>90</v>
      </c>
      <c r="H12" s="6">
        <v>2610100401</v>
      </c>
      <c r="I12" s="6" t="s">
        <v>1375</v>
      </c>
      <c r="J12" s="6">
        <v>24</v>
      </c>
      <c r="K12" s="6">
        <v>24</v>
      </c>
      <c r="L12" s="6" t="s">
        <v>2</v>
      </c>
      <c r="M12" s="6" t="s">
        <v>37</v>
      </c>
      <c r="N12" s="6" t="str">
        <f>VLOOKUP(Table1[[#This Row],[elevator_traction_machine]],'Product inf'!A:B,2,FALSE)</f>
        <v>SP006</v>
      </c>
      <c r="O12" s="6" t="s">
        <v>3</v>
      </c>
      <c r="P12" s="6" t="s">
        <v>9</v>
      </c>
      <c r="Q12" s="6" t="s">
        <v>67</v>
      </c>
      <c r="R12" s="6" t="s">
        <v>68</v>
      </c>
      <c r="S12" s="6">
        <v>800000000</v>
      </c>
      <c r="U12" s="6">
        <v>800000000</v>
      </c>
      <c r="V12" s="6">
        <v>800000000</v>
      </c>
      <c r="Z12" s="8">
        <v>46059</v>
      </c>
      <c r="AA12" s="6" t="s">
        <v>2416</v>
      </c>
    </row>
    <row r="13" spans="1:27" x14ac:dyDescent="0.25">
      <c r="A13" s="8">
        <v>46055</v>
      </c>
      <c r="B13" s="6" t="s">
        <v>487</v>
      </c>
      <c r="C13" s="6" t="s">
        <v>1402</v>
      </c>
      <c r="D13" s="6" t="s">
        <v>36</v>
      </c>
      <c r="E13" s="6" t="str">
        <f>VLOOKUP(D13,'shipping inf'!B:D,2,FALSE)</f>
        <v>TP Hồ Chí Minh</v>
      </c>
      <c r="F13" s="6" t="s">
        <v>542</v>
      </c>
      <c r="G13" s="6">
        <v>90</v>
      </c>
      <c r="H13" s="6">
        <v>2610100402</v>
      </c>
      <c r="I13" s="6" t="s">
        <v>1375</v>
      </c>
      <c r="J13" s="6">
        <v>24</v>
      </c>
      <c r="K13" s="6">
        <v>24</v>
      </c>
      <c r="L13" s="6" t="s">
        <v>2</v>
      </c>
      <c r="M13" s="6" t="s">
        <v>37</v>
      </c>
      <c r="N13" s="6" t="str">
        <f>VLOOKUP(Table1[[#This Row],[elevator_traction_machine]],'Product inf'!A:B,2,FALSE)</f>
        <v>SP006</v>
      </c>
      <c r="O13" s="6" t="s">
        <v>3</v>
      </c>
      <c r="P13" s="6" t="s">
        <v>9</v>
      </c>
      <c r="Q13" s="6" t="s">
        <v>67</v>
      </c>
      <c r="R13" s="6" t="s">
        <v>68</v>
      </c>
      <c r="S13" s="6">
        <v>800000000</v>
      </c>
      <c r="U13" s="6">
        <v>800000000</v>
      </c>
      <c r="V13" s="6">
        <v>800000000</v>
      </c>
      <c r="Z13" s="8">
        <v>46059</v>
      </c>
      <c r="AA13" s="6" t="s">
        <v>2416</v>
      </c>
    </row>
    <row r="14" spans="1:27" x14ac:dyDescent="0.25">
      <c r="A14" s="8">
        <v>45311</v>
      </c>
      <c r="B14" s="6" t="s">
        <v>75</v>
      </c>
      <c r="C14" s="6" t="s">
        <v>1403</v>
      </c>
      <c r="D14" s="6" t="s">
        <v>36</v>
      </c>
      <c r="E14" s="6" t="str">
        <f>VLOOKUP(D14,'shipping inf'!B:D,2,FALSE)</f>
        <v>TP Hồ Chí Minh</v>
      </c>
      <c r="F14" s="6" t="s">
        <v>542</v>
      </c>
      <c r="G14" s="6">
        <v>90</v>
      </c>
      <c r="H14" s="6">
        <v>2410100501</v>
      </c>
      <c r="I14" s="6" t="s">
        <v>1375</v>
      </c>
      <c r="J14" s="6">
        <v>24</v>
      </c>
      <c r="K14" s="6">
        <v>12</v>
      </c>
      <c r="L14" s="6" t="s">
        <v>2</v>
      </c>
      <c r="M14" s="6" t="s">
        <v>37</v>
      </c>
      <c r="N14" s="6" t="str">
        <f>VLOOKUP(Table1[[#This Row],[elevator_traction_machine]],'Product inf'!A:B,2,FALSE)</f>
        <v>SP006</v>
      </c>
      <c r="O14" s="6" t="s">
        <v>3</v>
      </c>
      <c r="P14" s="6" t="s">
        <v>9</v>
      </c>
      <c r="Q14" s="6" t="s">
        <v>67</v>
      </c>
      <c r="R14" s="6" t="s">
        <v>68</v>
      </c>
      <c r="S14" s="6">
        <v>380000000</v>
      </c>
      <c r="U14" s="6">
        <v>380000000</v>
      </c>
      <c r="X14" s="6">
        <v>3000000</v>
      </c>
      <c r="Y14" s="6">
        <v>4800000</v>
      </c>
      <c r="Z14" s="8">
        <v>45311</v>
      </c>
      <c r="AA14" s="6" t="s">
        <v>1891</v>
      </c>
    </row>
    <row r="15" spans="1:27" x14ac:dyDescent="0.25">
      <c r="A15" s="8">
        <v>45776</v>
      </c>
      <c r="B15" s="6" t="s">
        <v>299</v>
      </c>
      <c r="C15" s="6" t="s">
        <v>1404</v>
      </c>
      <c r="D15" s="6" t="s">
        <v>36</v>
      </c>
      <c r="E15" s="6" t="str">
        <f>VLOOKUP(D15,'shipping inf'!B:D,2,FALSE)</f>
        <v>TP Hồ Chí Minh</v>
      </c>
      <c r="F15" s="6" t="s">
        <v>543</v>
      </c>
      <c r="G15" s="6">
        <v>90</v>
      </c>
      <c r="H15" s="6">
        <v>2510100502</v>
      </c>
      <c r="I15" s="6" t="s">
        <v>1375</v>
      </c>
      <c r="J15" s="6">
        <v>24</v>
      </c>
      <c r="K15" s="6">
        <v>24</v>
      </c>
      <c r="L15" s="6" t="s">
        <v>2</v>
      </c>
      <c r="M15" s="6" t="s">
        <v>37</v>
      </c>
      <c r="N15" s="6" t="str">
        <f>VLOOKUP(Table1[[#This Row],[elevator_traction_machine]],'Product inf'!A:B,2,FALSE)</f>
        <v>SP006</v>
      </c>
      <c r="O15" s="6" t="s">
        <v>3</v>
      </c>
      <c r="P15" s="6" t="s">
        <v>9</v>
      </c>
      <c r="Q15" s="6" t="s">
        <v>67</v>
      </c>
      <c r="R15" s="6" t="s">
        <v>68</v>
      </c>
      <c r="S15" s="6">
        <v>865000000</v>
      </c>
      <c r="T15" s="6">
        <v>69200000</v>
      </c>
      <c r="U15" s="6">
        <v>934200000</v>
      </c>
      <c r="V15" s="6">
        <v>896404000</v>
      </c>
      <c r="Y15" s="6">
        <v>11050000</v>
      </c>
      <c r="Z15" s="8">
        <v>45776</v>
      </c>
      <c r="AA15" s="6" t="s">
        <v>2206</v>
      </c>
    </row>
    <row r="16" spans="1:27" x14ac:dyDescent="0.25">
      <c r="A16" s="8">
        <v>45776</v>
      </c>
      <c r="B16" s="6" t="s">
        <v>299</v>
      </c>
      <c r="C16" s="6" t="s">
        <v>1405</v>
      </c>
      <c r="D16" s="6" t="s">
        <v>36</v>
      </c>
      <c r="E16" s="6" t="str">
        <f>VLOOKUP(D16,'shipping inf'!B:D,2,FALSE)</f>
        <v>TP Hồ Chí Minh</v>
      </c>
      <c r="F16" s="6" t="s">
        <v>543</v>
      </c>
      <c r="G16" s="6">
        <v>90</v>
      </c>
      <c r="H16" s="6">
        <v>2510100502</v>
      </c>
      <c r="I16" s="6" t="s">
        <v>1375</v>
      </c>
      <c r="J16" s="6">
        <v>24</v>
      </c>
      <c r="K16" s="6">
        <v>24</v>
      </c>
      <c r="L16" s="6" t="s">
        <v>2</v>
      </c>
      <c r="M16" s="6" t="s">
        <v>37</v>
      </c>
      <c r="N16" s="6" t="str">
        <f>VLOOKUP(Table1[[#This Row],[elevator_traction_machine]],'Product inf'!A:B,2,FALSE)</f>
        <v>SP006</v>
      </c>
      <c r="O16" s="6" t="s">
        <v>3</v>
      </c>
      <c r="P16" s="6" t="s">
        <v>9</v>
      </c>
      <c r="Q16" s="6" t="s">
        <v>67</v>
      </c>
      <c r="R16" s="6" t="s">
        <v>68</v>
      </c>
      <c r="U16" s="6">
        <v>0</v>
      </c>
      <c r="Z16" s="8">
        <v>45776</v>
      </c>
      <c r="AA16" s="6" t="s">
        <v>2206</v>
      </c>
    </row>
    <row r="17" spans="1:27" x14ac:dyDescent="0.25">
      <c r="A17" s="8">
        <v>46062</v>
      </c>
      <c r="B17" s="6" t="s">
        <v>489</v>
      </c>
      <c r="C17" s="6" t="s">
        <v>1406</v>
      </c>
      <c r="D17" s="6" t="s">
        <v>36</v>
      </c>
      <c r="E17" s="6" t="str">
        <f>VLOOKUP(D17,'shipping inf'!B:D,2,FALSE)</f>
        <v>TP Hồ Chí Minh</v>
      </c>
      <c r="F17" s="6" t="s">
        <v>544</v>
      </c>
      <c r="G17" s="6">
        <v>90</v>
      </c>
      <c r="H17" s="6">
        <v>2610100501</v>
      </c>
      <c r="I17" s="6" t="s">
        <v>1375</v>
      </c>
      <c r="J17" s="6">
        <v>24</v>
      </c>
      <c r="K17" s="6">
        <v>24</v>
      </c>
      <c r="L17" s="6" t="s">
        <v>2</v>
      </c>
      <c r="M17" s="6" t="s">
        <v>37</v>
      </c>
      <c r="N17" s="6" t="str">
        <f>VLOOKUP(Table1[[#This Row],[elevator_traction_machine]],'Product inf'!A:B,2,FALSE)</f>
        <v>SP010</v>
      </c>
      <c r="O17" s="6" t="s">
        <v>8</v>
      </c>
      <c r="P17" s="6" t="s">
        <v>9</v>
      </c>
      <c r="Q17" s="6" t="s">
        <v>254</v>
      </c>
      <c r="R17" s="6" t="s">
        <v>255</v>
      </c>
      <c r="S17" s="6">
        <v>744250000</v>
      </c>
      <c r="U17" s="6">
        <v>744250000</v>
      </c>
      <c r="V17" s="6">
        <v>707500000</v>
      </c>
      <c r="Z17" s="8">
        <v>46062</v>
      </c>
      <c r="AA17" s="6" t="s">
        <v>2416</v>
      </c>
    </row>
    <row r="18" spans="1:27" x14ac:dyDescent="0.25">
      <c r="A18" s="8">
        <v>45358</v>
      </c>
      <c r="B18" s="6" t="s">
        <v>81</v>
      </c>
      <c r="C18" s="6" t="s">
        <v>1407</v>
      </c>
      <c r="D18" s="6" t="s">
        <v>36</v>
      </c>
      <c r="E18" s="6" t="str">
        <f>VLOOKUP(D18,'shipping inf'!B:D,2,FALSE)</f>
        <v>TP Hồ Chí Minh</v>
      </c>
      <c r="F18" s="6" t="s">
        <v>545</v>
      </c>
      <c r="G18" s="6">
        <v>90</v>
      </c>
      <c r="H18" s="6">
        <v>2410100601</v>
      </c>
      <c r="I18" s="6" t="s">
        <v>1375</v>
      </c>
      <c r="J18" s="6">
        <v>24</v>
      </c>
      <c r="K18" s="6">
        <v>12</v>
      </c>
      <c r="L18" s="6" t="s">
        <v>2</v>
      </c>
      <c r="M18" s="6" t="s">
        <v>37</v>
      </c>
      <c r="N18" s="6" t="str">
        <f>VLOOKUP(Table1[[#This Row],[elevator_traction_machine]],'Product inf'!A:B,2,FALSE)</f>
        <v>SP009</v>
      </c>
      <c r="O18" s="6" t="s">
        <v>8</v>
      </c>
      <c r="P18" s="6" t="s">
        <v>9</v>
      </c>
      <c r="Q18" s="6" t="s">
        <v>82</v>
      </c>
      <c r="R18" s="6" t="s">
        <v>68</v>
      </c>
      <c r="S18" s="6">
        <v>325000000</v>
      </c>
      <c r="T18" s="6">
        <v>26000000</v>
      </c>
      <c r="U18" s="6">
        <v>351000000</v>
      </c>
      <c r="Y18" s="6">
        <v>4250000</v>
      </c>
      <c r="Z18" s="8">
        <v>45358</v>
      </c>
      <c r="AA18" s="6" t="s">
        <v>1933</v>
      </c>
    </row>
    <row r="19" spans="1:27" x14ac:dyDescent="0.25">
      <c r="A19" s="8">
        <v>45724</v>
      </c>
      <c r="B19" s="6" t="s">
        <v>276</v>
      </c>
      <c r="C19" s="6" t="s">
        <v>1408</v>
      </c>
      <c r="D19" s="6" t="s">
        <v>52</v>
      </c>
      <c r="E19" s="6" t="str">
        <f>VLOOKUP(D19,'shipping inf'!B:D,2,FALSE)</f>
        <v>Đồng Tháp</v>
      </c>
      <c r="F19" s="6" t="s">
        <v>546</v>
      </c>
      <c r="G19" s="6">
        <v>90</v>
      </c>
      <c r="H19" s="6">
        <v>2510100601</v>
      </c>
      <c r="I19" s="6" t="s">
        <v>1375</v>
      </c>
      <c r="J19" s="6">
        <v>24</v>
      </c>
      <c r="K19" s="6">
        <v>12</v>
      </c>
      <c r="L19" s="6" t="s">
        <v>2</v>
      </c>
      <c r="M19" s="6" t="s">
        <v>37</v>
      </c>
      <c r="N19" s="6" t="str">
        <f>VLOOKUP(Table1[[#This Row],[elevator_traction_machine]],'Product inf'!A:B,2,FALSE)</f>
        <v>SP010</v>
      </c>
      <c r="O19" s="6" t="s">
        <v>3</v>
      </c>
      <c r="P19" s="6" t="s">
        <v>9</v>
      </c>
      <c r="Q19" s="6" t="s">
        <v>254</v>
      </c>
      <c r="R19" s="6" t="s">
        <v>255</v>
      </c>
      <c r="S19" s="6">
        <v>447000000</v>
      </c>
      <c r="T19" s="6">
        <v>35760000</v>
      </c>
      <c r="U19" s="6">
        <v>482760000</v>
      </c>
      <c r="V19" s="6">
        <v>490500000</v>
      </c>
      <c r="Y19" s="6">
        <v>5670000</v>
      </c>
      <c r="Z19" s="8">
        <v>45734</v>
      </c>
      <c r="AA19" s="6" t="s">
        <v>2185</v>
      </c>
    </row>
    <row r="20" spans="1:27" x14ac:dyDescent="0.25">
      <c r="A20" s="8">
        <v>46064</v>
      </c>
      <c r="B20" s="6" t="s">
        <v>491</v>
      </c>
      <c r="C20" s="6" t="s">
        <v>1409</v>
      </c>
      <c r="D20" s="6" t="s">
        <v>36</v>
      </c>
      <c r="E20" s="6" t="str">
        <f>VLOOKUP(D20,'shipping inf'!B:D,2,FALSE)</f>
        <v>TP Hồ Chí Minh</v>
      </c>
      <c r="F20" s="6" t="s">
        <v>547</v>
      </c>
      <c r="G20" s="6">
        <v>90</v>
      </c>
      <c r="H20" s="6">
        <v>2610100601</v>
      </c>
      <c r="I20" s="6" t="s">
        <v>1375</v>
      </c>
      <c r="J20" s="6">
        <v>24</v>
      </c>
      <c r="K20" s="6">
        <v>24</v>
      </c>
      <c r="L20" s="6" t="s">
        <v>2</v>
      </c>
      <c r="M20" s="6" t="s">
        <v>37</v>
      </c>
      <c r="N20" s="6" t="str">
        <f>VLOOKUP(Table1[[#This Row],[elevator_traction_machine]],'Product inf'!A:B,2,FALSE)</f>
        <v>SP006</v>
      </c>
      <c r="O20" s="6" t="s">
        <v>3</v>
      </c>
      <c r="P20" s="6" t="s">
        <v>9</v>
      </c>
      <c r="Q20" s="6" t="s">
        <v>67</v>
      </c>
      <c r="R20" s="6" t="s">
        <v>68</v>
      </c>
      <c r="S20" s="6">
        <v>370000000</v>
      </c>
      <c r="U20" s="6">
        <v>370000000</v>
      </c>
      <c r="V20" s="6">
        <v>355500000</v>
      </c>
      <c r="X20" s="6">
        <v>6000000</v>
      </c>
      <c r="Z20" s="8">
        <v>46065</v>
      </c>
      <c r="AA20" s="6" t="s">
        <v>2416</v>
      </c>
    </row>
    <row r="21" spans="1:27" x14ac:dyDescent="0.25">
      <c r="A21" s="8">
        <v>45365</v>
      </c>
      <c r="B21" s="6" t="s">
        <v>85</v>
      </c>
      <c r="C21" s="6" t="s">
        <v>1410</v>
      </c>
      <c r="D21" s="6" t="s">
        <v>36</v>
      </c>
      <c r="E21" s="6" t="str">
        <f>VLOOKUP(D21,'shipping inf'!B:D,2,FALSE)</f>
        <v>TP Hồ Chí Minh</v>
      </c>
      <c r="F21" s="6" t="s">
        <v>548</v>
      </c>
      <c r="G21" s="6">
        <v>60</v>
      </c>
      <c r="H21" s="6">
        <v>2410100701</v>
      </c>
      <c r="I21" s="6" t="s">
        <v>1375</v>
      </c>
      <c r="J21" s="6">
        <v>24</v>
      </c>
      <c r="K21" s="6">
        <v>12</v>
      </c>
      <c r="L21" s="6" t="s">
        <v>2</v>
      </c>
      <c r="M21" s="6" t="s">
        <v>37</v>
      </c>
      <c r="N21" s="6" t="str">
        <f>VLOOKUP(Table1[[#This Row],[elevator_traction_machine]],'Product inf'!A:B,2,FALSE)</f>
        <v>SP006</v>
      </c>
      <c r="O21" s="6" t="s">
        <v>3</v>
      </c>
      <c r="P21" s="6" t="s">
        <v>9</v>
      </c>
      <c r="Q21" s="6" t="s">
        <v>67</v>
      </c>
      <c r="R21" s="6" t="s">
        <v>68</v>
      </c>
      <c r="S21" s="6">
        <v>410000000</v>
      </c>
      <c r="U21" s="6">
        <v>410000000</v>
      </c>
      <c r="Y21" s="6">
        <v>5100000</v>
      </c>
      <c r="Z21" s="8">
        <v>45367</v>
      </c>
      <c r="AA21" s="6" t="s">
        <v>1933</v>
      </c>
    </row>
    <row r="22" spans="1:27" x14ac:dyDescent="0.25">
      <c r="A22" s="8">
        <v>45721</v>
      </c>
      <c r="B22" s="6" t="s">
        <v>265</v>
      </c>
      <c r="C22" s="6" t="s">
        <v>1411</v>
      </c>
      <c r="D22" s="6" t="s">
        <v>36</v>
      </c>
      <c r="E22" s="6" t="str">
        <f>VLOOKUP(D22,'shipping inf'!B:D,2,FALSE)</f>
        <v>TP Hồ Chí Minh</v>
      </c>
      <c r="F22" s="6" t="s">
        <v>549</v>
      </c>
      <c r="G22" s="6">
        <v>90</v>
      </c>
      <c r="H22" s="6">
        <v>2510100701</v>
      </c>
      <c r="I22" s="6" t="s">
        <v>1375</v>
      </c>
      <c r="J22" s="6">
        <v>24</v>
      </c>
      <c r="K22" s="6">
        <v>12</v>
      </c>
      <c r="L22" s="6" t="s">
        <v>2</v>
      </c>
      <c r="M22" s="6" t="s">
        <v>37</v>
      </c>
      <c r="N22" s="6" t="str">
        <f>VLOOKUP(Table1[[#This Row],[elevator_traction_machine]],'Product inf'!A:B,2,FALSE)</f>
        <v>SP006</v>
      </c>
      <c r="O22" s="6" t="s">
        <v>3</v>
      </c>
      <c r="P22" s="6" t="s">
        <v>9</v>
      </c>
      <c r="Q22" s="6" t="s">
        <v>67</v>
      </c>
      <c r="R22" s="6" t="s">
        <v>68</v>
      </c>
      <c r="S22" s="6">
        <v>400000000</v>
      </c>
      <c r="U22" s="6">
        <v>400000000</v>
      </c>
      <c r="V22" s="6">
        <v>386000000</v>
      </c>
      <c r="X22" s="6">
        <v>15000000</v>
      </c>
      <c r="Y22" s="6">
        <v>5500000</v>
      </c>
      <c r="Z22" s="8">
        <v>45722</v>
      </c>
      <c r="AA22" s="6" t="s">
        <v>2185</v>
      </c>
    </row>
    <row r="23" spans="1:27" x14ac:dyDescent="0.25">
      <c r="A23" s="8">
        <v>46085</v>
      </c>
      <c r="B23" s="6" t="s">
        <v>492</v>
      </c>
      <c r="C23" s="6" t="s">
        <v>1412</v>
      </c>
      <c r="D23" s="6" t="s">
        <v>36</v>
      </c>
      <c r="E23" s="6" t="str">
        <f>VLOOKUP(D23,'shipping inf'!B:D,2,FALSE)</f>
        <v>TP Hồ Chí Minh</v>
      </c>
      <c r="F23" s="6" t="s">
        <v>550</v>
      </c>
      <c r="G23" s="6">
        <v>50</v>
      </c>
      <c r="H23" s="6">
        <v>2610100701</v>
      </c>
      <c r="I23" s="6" t="s">
        <v>1375</v>
      </c>
      <c r="J23" s="6">
        <v>24</v>
      </c>
      <c r="K23" s="6">
        <v>24</v>
      </c>
      <c r="L23" s="6" t="s">
        <v>2</v>
      </c>
      <c r="M23" s="6" t="s">
        <v>37</v>
      </c>
      <c r="N23" s="6" t="str">
        <f>VLOOKUP(Table1[[#This Row],[elevator_traction_machine]],'Product inf'!A:B,2,FALSE)</f>
        <v>SP006</v>
      </c>
      <c r="O23" s="6" t="s">
        <v>8</v>
      </c>
      <c r="P23" s="6" t="s">
        <v>9</v>
      </c>
      <c r="Q23" s="6" t="s">
        <v>67</v>
      </c>
      <c r="R23" s="6" t="s">
        <v>68</v>
      </c>
      <c r="S23" s="6">
        <v>455000000</v>
      </c>
      <c r="T23" s="6">
        <v>36400000</v>
      </c>
      <c r="U23" s="6">
        <v>491400000</v>
      </c>
      <c r="V23" s="6">
        <v>441100000</v>
      </c>
      <c r="Z23" s="8">
        <v>46086</v>
      </c>
      <c r="AA23" s="6" t="s">
        <v>2437</v>
      </c>
    </row>
    <row r="24" spans="1:27" x14ac:dyDescent="0.25">
      <c r="A24" s="8">
        <v>45369</v>
      </c>
      <c r="B24" s="6" t="s">
        <v>87</v>
      </c>
      <c r="C24" s="6" t="s">
        <v>1413</v>
      </c>
      <c r="D24" s="6" t="s">
        <v>42</v>
      </c>
      <c r="E24" s="6" t="str">
        <f>VLOOKUP(D24,'shipping inf'!B:D,2,FALSE)</f>
        <v>TP Hồ Chí Minh</v>
      </c>
      <c r="F24" s="6" t="s">
        <v>551</v>
      </c>
      <c r="G24" s="6">
        <v>60</v>
      </c>
      <c r="H24" s="6">
        <v>2410100801</v>
      </c>
      <c r="I24" s="6" t="s">
        <v>1375</v>
      </c>
      <c r="J24" s="6">
        <v>24</v>
      </c>
      <c r="K24" s="6">
        <v>12</v>
      </c>
      <c r="L24" s="6" t="s">
        <v>2</v>
      </c>
      <c r="M24" s="6" t="s">
        <v>37</v>
      </c>
      <c r="N24" s="6" t="str">
        <f>VLOOKUP(Table1[[#This Row],[elevator_traction_machine]],'Product inf'!A:B,2,FALSE)</f>
        <v>SP009</v>
      </c>
      <c r="O24" s="6" t="s">
        <v>3</v>
      </c>
      <c r="P24" s="6" t="s">
        <v>9</v>
      </c>
      <c r="Q24" s="6" t="s">
        <v>82</v>
      </c>
      <c r="R24" s="6" t="s">
        <v>68</v>
      </c>
      <c r="S24" s="6">
        <v>357500000</v>
      </c>
      <c r="U24" s="6">
        <v>357500000</v>
      </c>
      <c r="Y24" s="6">
        <v>4575000</v>
      </c>
      <c r="Z24" s="8">
        <v>45371</v>
      </c>
      <c r="AA24" s="6" t="s">
        <v>1933</v>
      </c>
    </row>
    <row r="25" spans="1:27" x14ac:dyDescent="0.25">
      <c r="A25" s="8">
        <v>45793</v>
      </c>
      <c r="B25" s="6" t="s">
        <v>308</v>
      </c>
      <c r="C25" s="6" t="s">
        <v>1414</v>
      </c>
      <c r="D25" s="6" t="s">
        <v>62</v>
      </c>
      <c r="E25" s="6" t="str">
        <f>VLOOKUP(D25,'shipping inf'!B:D,2,FALSE)</f>
        <v>Vĩnh Long</v>
      </c>
      <c r="F25" s="6" t="s">
        <v>552</v>
      </c>
      <c r="G25" s="6">
        <v>90</v>
      </c>
      <c r="H25" s="6">
        <v>2510100801</v>
      </c>
      <c r="I25" s="6" t="s">
        <v>1375</v>
      </c>
      <c r="J25" s="6">
        <v>24</v>
      </c>
      <c r="K25" s="6">
        <v>12</v>
      </c>
      <c r="L25" s="6" t="s">
        <v>2</v>
      </c>
      <c r="M25" s="6" t="s">
        <v>37</v>
      </c>
      <c r="N25" s="6" t="str">
        <f>VLOOKUP(Table1[[#This Row],[elevator_traction_machine]],'Product inf'!A:B,2,FALSE)</f>
        <v>SP015</v>
      </c>
      <c r="O25" s="6" t="s">
        <v>3</v>
      </c>
      <c r="P25" s="6" t="s">
        <v>9</v>
      </c>
      <c r="Q25" s="6" t="s">
        <v>70</v>
      </c>
      <c r="R25" s="6" t="s">
        <v>68</v>
      </c>
      <c r="S25" s="6">
        <v>370370370.37037033</v>
      </c>
      <c r="T25" s="6">
        <v>29629629.629629627</v>
      </c>
      <c r="U25" s="6">
        <v>399999999.99999994</v>
      </c>
      <c r="V25" s="6">
        <v>393000000</v>
      </c>
      <c r="Y25" s="6">
        <v>4903704</v>
      </c>
      <c r="Z25" s="8">
        <v>45794</v>
      </c>
      <c r="AA25" s="6" t="s">
        <v>2227</v>
      </c>
    </row>
    <row r="26" spans="1:27" x14ac:dyDescent="0.25">
      <c r="A26" s="8">
        <v>46088</v>
      </c>
      <c r="B26" s="6" t="s">
        <v>494</v>
      </c>
      <c r="C26" s="6" t="s">
        <v>1415</v>
      </c>
      <c r="D26" s="6" t="s">
        <v>36</v>
      </c>
      <c r="E26" s="6" t="str">
        <f>VLOOKUP(D26,'shipping inf'!B:D,2,FALSE)</f>
        <v>TP Hồ Chí Minh</v>
      </c>
      <c r="F26" s="6" t="s">
        <v>553</v>
      </c>
      <c r="G26" s="6">
        <v>60</v>
      </c>
      <c r="H26" s="6">
        <v>2610100801</v>
      </c>
      <c r="I26" s="6" t="s">
        <v>1375</v>
      </c>
      <c r="J26" s="6">
        <v>24</v>
      </c>
      <c r="K26" s="6">
        <v>24</v>
      </c>
      <c r="L26" s="6" t="s">
        <v>2</v>
      </c>
      <c r="M26" s="6" t="s">
        <v>37</v>
      </c>
      <c r="N26" s="6" t="str">
        <f>VLOOKUP(Table1[[#This Row],[elevator_traction_machine]],'Product inf'!A:B,2,FALSE)</f>
        <v>SP006</v>
      </c>
      <c r="O26" s="6" t="s">
        <v>8</v>
      </c>
      <c r="P26" s="6" t="s">
        <v>9</v>
      </c>
      <c r="Q26" s="6" t="s">
        <v>67</v>
      </c>
      <c r="R26" s="6" t="s">
        <v>68</v>
      </c>
      <c r="S26" s="6">
        <v>459000000</v>
      </c>
      <c r="U26" s="6">
        <v>459000000</v>
      </c>
      <c r="V26" s="6">
        <v>457000000</v>
      </c>
      <c r="Z26" s="8">
        <v>46090</v>
      </c>
      <c r="AA26" s="6" t="s">
        <v>2437</v>
      </c>
    </row>
    <row r="27" spans="1:27" x14ac:dyDescent="0.25">
      <c r="A27" s="8">
        <v>45408</v>
      </c>
      <c r="B27" s="6" t="s">
        <v>101</v>
      </c>
      <c r="C27" s="6" t="s">
        <v>1416</v>
      </c>
      <c r="D27" s="6" t="s">
        <v>36</v>
      </c>
      <c r="E27" s="6" t="str">
        <f>VLOOKUP(D27,'shipping inf'!B:D,2,FALSE)</f>
        <v>TP Hồ Chí Minh</v>
      </c>
      <c r="F27" s="6" t="s">
        <v>554</v>
      </c>
      <c r="G27" s="6">
        <v>60</v>
      </c>
      <c r="H27" s="6">
        <v>2410100901</v>
      </c>
      <c r="I27" s="6" t="s">
        <v>1375</v>
      </c>
      <c r="J27" s="6">
        <v>24</v>
      </c>
      <c r="K27" s="6">
        <v>12</v>
      </c>
      <c r="L27" s="6" t="s">
        <v>2</v>
      </c>
      <c r="M27" s="6" t="s">
        <v>37</v>
      </c>
      <c r="N27" s="6" t="str">
        <f>VLOOKUP(Table1[[#This Row],[elevator_traction_machine]],'Product inf'!A:B,2,FALSE)</f>
        <v>SP003</v>
      </c>
      <c r="O27" s="6" t="s">
        <v>3</v>
      </c>
      <c r="P27" s="6" t="s">
        <v>9</v>
      </c>
      <c r="Q27" s="6" t="s">
        <v>102</v>
      </c>
      <c r="R27" s="6" t="s">
        <v>68</v>
      </c>
      <c r="S27" s="6">
        <v>305000000</v>
      </c>
      <c r="U27" s="6">
        <v>305000000</v>
      </c>
      <c r="X27" s="6">
        <v>5000000</v>
      </c>
      <c r="Y27" s="6">
        <v>7100000</v>
      </c>
      <c r="Z27" s="8">
        <v>45418</v>
      </c>
      <c r="AA27" s="6" t="s">
        <v>1954</v>
      </c>
    </row>
    <row r="28" spans="1:27" x14ac:dyDescent="0.25">
      <c r="A28" s="8">
        <v>45408</v>
      </c>
      <c r="B28" s="6" t="s">
        <v>101</v>
      </c>
      <c r="C28" s="6" t="s">
        <v>1417</v>
      </c>
      <c r="D28" s="6" t="s">
        <v>36</v>
      </c>
      <c r="E28" s="6" t="str">
        <f>VLOOKUP(D28,'shipping inf'!B:D,2,FALSE)</f>
        <v>TP Hồ Chí Minh</v>
      </c>
      <c r="F28" s="6" t="s">
        <v>554</v>
      </c>
      <c r="G28" s="6">
        <v>60</v>
      </c>
      <c r="H28" s="6">
        <v>2410100902</v>
      </c>
      <c r="I28" s="6" t="s">
        <v>1375</v>
      </c>
      <c r="J28" s="6">
        <v>24</v>
      </c>
      <c r="K28" s="6">
        <v>12</v>
      </c>
      <c r="L28" s="6" t="s">
        <v>2</v>
      </c>
      <c r="M28" s="6" t="s">
        <v>37</v>
      </c>
      <c r="N28" s="6" t="str">
        <f>VLOOKUP(Table1[[#This Row],[elevator_traction_machine]],'Product inf'!A:B,2,FALSE)</f>
        <v>SP003</v>
      </c>
      <c r="O28" s="6" t="s">
        <v>3</v>
      </c>
      <c r="P28" s="6" t="s">
        <v>9</v>
      </c>
      <c r="Q28" s="6" t="s">
        <v>102</v>
      </c>
      <c r="R28" s="6" t="s">
        <v>68</v>
      </c>
      <c r="S28" s="6">
        <v>305000000</v>
      </c>
      <c r="U28" s="6">
        <v>305000000</v>
      </c>
      <c r="Z28" s="8">
        <v>45418</v>
      </c>
      <c r="AA28" s="6" t="s">
        <v>1954</v>
      </c>
    </row>
    <row r="29" spans="1:27" x14ac:dyDescent="0.25">
      <c r="A29" s="8">
        <v>45734</v>
      </c>
      <c r="B29" s="6" t="s">
        <v>278</v>
      </c>
      <c r="C29" s="6" t="s">
        <v>1418</v>
      </c>
      <c r="D29" s="6" t="s">
        <v>50</v>
      </c>
      <c r="E29" s="6" t="str">
        <f>VLOOKUP(D29,'shipping inf'!B:D,2,FALSE)</f>
        <v>Hà Nội</v>
      </c>
      <c r="F29" s="6" t="s">
        <v>555</v>
      </c>
      <c r="G29" s="6">
        <v>90</v>
      </c>
      <c r="H29" s="6">
        <v>2510100901</v>
      </c>
      <c r="I29" s="6" t="s">
        <v>1375</v>
      </c>
      <c r="J29" s="6">
        <v>24</v>
      </c>
      <c r="K29" s="6">
        <v>12</v>
      </c>
      <c r="L29" s="6" t="s">
        <v>2</v>
      </c>
      <c r="M29" s="6" t="s">
        <v>37</v>
      </c>
      <c r="N29" s="6" t="str">
        <f>VLOOKUP(Table1[[#This Row],[elevator_traction_machine]],'Product inf'!A:B,2,FALSE)</f>
        <v>SP011</v>
      </c>
      <c r="O29" s="6" t="s">
        <v>3</v>
      </c>
      <c r="P29" s="6" t="s">
        <v>9</v>
      </c>
      <c r="Q29" s="6" t="s">
        <v>229</v>
      </c>
      <c r="R29" s="6" t="s">
        <v>279</v>
      </c>
      <c r="S29" s="6">
        <v>330000000</v>
      </c>
      <c r="U29" s="6">
        <v>330000000</v>
      </c>
      <c r="V29" s="6">
        <v>245000000</v>
      </c>
      <c r="Y29" s="6">
        <v>4800000</v>
      </c>
      <c r="Z29" s="8">
        <v>45736</v>
      </c>
      <c r="AA29" s="6" t="s">
        <v>2185</v>
      </c>
    </row>
    <row r="30" spans="1:27" x14ac:dyDescent="0.25">
      <c r="A30" s="8">
        <v>46100</v>
      </c>
      <c r="B30" s="6" t="s">
        <v>501</v>
      </c>
      <c r="C30" s="6" t="s">
        <v>1419</v>
      </c>
      <c r="D30" s="6" t="s">
        <v>36</v>
      </c>
      <c r="E30" s="6" t="str">
        <f>VLOOKUP(D30,'shipping inf'!B:D,2,FALSE)</f>
        <v>TP Hồ Chí Minh</v>
      </c>
      <c r="F30" s="6" t="s">
        <v>556</v>
      </c>
      <c r="G30" s="6">
        <v>60</v>
      </c>
      <c r="H30" s="6">
        <v>2610100901</v>
      </c>
      <c r="I30" s="6" t="s">
        <v>1375</v>
      </c>
      <c r="J30" s="6">
        <v>24</v>
      </c>
      <c r="K30" s="6">
        <v>24</v>
      </c>
      <c r="L30" s="6" t="s">
        <v>2</v>
      </c>
      <c r="M30" s="6" t="s">
        <v>37</v>
      </c>
      <c r="N30" s="6" t="str">
        <f>VLOOKUP(Table1[[#This Row],[elevator_traction_machine]],'Product inf'!A:B,2,FALSE)</f>
        <v>SP015</v>
      </c>
      <c r="O30" s="6" t="s">
        <v>3</v>
      </c>
      <c r="P30" s="6" t="s">
        <v>9</v>
      </c>
      <c r="Q30" s="6" t="s">
        <v>70</v>
      </c>
      <c r="R30" s="6" t="s">
        <v>68</v>
      </c>
      <c r="S30" s="6">
        <v>407000000</v>
      </c>
      <c r="T30" s="6">
        <v>32560000</v>
      </c>
      <c r="U30" s="6">
        <v>439560000</v>
      </c>
      <c r="V30" s="6">
        <v>383000000</v>
      </c>
      <c r="Z30" s="8">
        <v>46100</v>
      </c>
      <c r="AA30" s="6" t="s">
        <v>2437</v>
      </c>
    </row>
    <row r="31" spans="1:27" x14ac:dyDescent="0.25">
      <c r="A31" s="8">
        <v>45406</v>
      </c>
      <c r="B31" s="6" t="s">
        <v>98</v>
      </c>
      <c r="C31" s="6" t="s">
        <v>1420</v>
      </c>
      <c r="D31" s="6" t="s">
        <v>35</v>
      </c>
      <c r="E31" s="6" t="str">
        <f>VLOOKUP(D31,'shipping inf'!B:D,2,FALSE)</f>
        <v>TP Hồ Chí Minh</v>
      </c>
      <c r="F31" s="6" t="s">
        <v>557</v>
      </c>
      <c r="G31" s="6">
        <v>60</v>
      </c>
      <c r="H31" s="6">
        <v>2410101001</v>
      </c>
      <c r="I31" s="6" t="s">
        <v>1375</v>
      </c>
      <c r="J31" s="6">
        <v>24</v>
      </c>
      <c r="K31" s="6">
        <v>12</v>
      </c>
      <c r="L31" s="6" t="s">
        <v>2</v>
      </c>
      <c r="M31" s="6" t="s">
        <v>37</v>
      </c>
      <c r="N31" s="6" t="str">
        <f>VLOOKUP(Table1[[#This Row],[elevator_traction_machine]],'Product inf'!A:B,2,FALSE)</f>
        <v>SP009</v>
      </c>
      <c r="O31" s="6" t="s">
        <v>8</v>
      </c>
      <c r="P31" s="6" t="s">
        <v>9</v>
      </c>
      <c r="Q31" s="6" t="s">
        <v>82</v>
      </c>
      <c r="R31" s="6" t="s">
        <v>68</v>
      </c>
      <c r="S31" s="6">
        <v>390000000</v>
      </c>
      <c r="U31" s="6">
        <v>390000000</v>
      </c>
      <c r="Y31" s="6">
        <v>4900000</v>
      </c>
      <c r="Z31" s="8">
        <v>45414</v>
      </c>
      <c r="AA31" s="6" t="s">
        <v>1954</v>
      </c>
    </row>
    <row r="32" spans="1:27" x14ac:dyDescent="0.25">
      <c r="A32" s="8">
        <v>45762</v>
      </c>
      <c r="B32" s="6" t="s">
        <v>291</v>
      </c>
      <c r="C32" s="6" t="s">
        <v>1421</v>
      </c>
      <c r="D32" s="6" t="s">
        <v>36</v>
      </c>
      <c r="E32" s="6" t="str">
        <f>VLOOKUP(D32,'shipping inf'!B:D,2,FALSE)</f>
        <v>TP Hồ Chí Minh</v>
      </c>
      <c r="F32" s="6" t="s">
        <v>558</v>
      </c>
      <c r="G32" s="6">
        <v>180</v>
      </c>
      <c r="H32" s="6">
        <v>2510101001</v>
      </c>
      <c r="I32" s="6" t="s">
        <v>1375</v>
      </c>
      <c r="J32" s="6">
        <v>24</v>
      </c>
      <c r="K32" s="6">
        <v>24</v>
      </c>
      <c r="L32" s="6" t="s">
        <v>17</v>
      </c>
      <c r="M32" s="6" t="s">
        <v>37</v>
      </c>
      <c r="N32" s="6" t="str">
        <f>VLOOKUP(Table1[[#This Row],[elevator_traction_machine]],'Product inf'!A:B,2,FALSE)</f>
        <v>SP006</v>
      </c>
      <c r="O32" s="6" t="s">
        <v>3</v>
      </c>
      <c r="P32" s="6" t="s">
        <v>9</v>
      </c>
      <c r="Q32" s="6" t="s">
        <v>67</v>
      </c>
      <c r="R32" s="6" t="s">
        <v>68</v>
      </c>
      <c r="S32" s="6">
        <v>372000000</v>
      </c>
      <c r="U32" s="6">
        <v>372000000</v>
      </c>
      <c r="V32" s="6">
        <v>391000000</v>
      </c>
      <c r="X32" s="6">
        <v>25000000</v>
      </c>
      <c r="Y32" s="6">
        <v>4920000</v>
      </c>
      <c r="Z32" s="8">
        <v>45762</v>
      </c>
      <c r="AA32" s="6" t="s">
        <v>2206</v>
      </c>
    </row>
    <row r="33" spans="1:27" x14ac:dyDescent="0.25">
      <c r="A33" s="8">
        <v>46099</v>
      </c>
      <c r="B33" s="6" t="s">
        <v>498</v>
      </c>
      <c r="C33" s="6" t="s">
        <v>1422</v>
      </c>
      <c r="D33" s="6" t="s">
        <v>54</v>
      </c>
      <c r="E33" s="6" t="str">
        <f>VLOOKUP(D33,'shipping inf'!B:D,2,FALSE)</f>
        <v>Khánh Hòa</v>
      </c>
      <c r="F33" s="6" t="s">
        <v>559</v>
      </c>
      <c r="G33" s="6">
        <v>75</v>
      </c>
      <c r="H33" s="6">
        <v>2610101001</v>
      </c>
      <c r="I33" s="6" t="s">
        <v>1375</v>
      </c>
      <c r="J33" s="6">
        <v>24</v>
      </c>
      <c r="K33" s="6">
        <v>24</v>
      </c>
      <c r="L33" s="6" t="s">
        <v>2</v>
      </c>
      <c r="M33" s="6" t="s">
        <v>37</v>
      </c>
      <c r="N33" s="6" t="str">
        <f>VLOOKUP(Table1[[#This Row],[elevator_traction_machine]],'Product inf'!A:B,2,FALSE)</f>
        <v>SP005</v>
      </c>
      <c r="O33" s="6" t="s">
        <v>3</v>
      </c>
      <c r="P33" s="6" t="s">
        <v>9</v>
      </c>
      <c r="Q33" s="6" t="s">
        <v>499</v>
      </c>
      <c r="R33" s="6" t="s">
        <v>255</v>
      </c>
      <c r="S33" s="6">
        <v>335000000</v>
      </c>
      <c r="U33" s="6">
        <v>335000000</v>
      </c>
      <c r="V33" s="6">
        <v>335000000</v>
      </c>
      <c r="Z33" s="8">
        <v>46100</v>
      </c>
      <c r="AA33" s="6" t="s">
        <v>2437</v>
      </c>
    </row>
    <row r="34" spans="1:27" x14ac:dyDescent="0.25">
      <c r="A34" s="8">
        <v>45294</v>
      </c>
      <c r="B34" s="6" t="s">
        <v>69</v>
      </c>
      <c r="C34" s="6" t="s">
        <v>1423</v>
      </c>
      <c r="D34" s="6" t="s">
        <v>36</v>
      </c>
      <c r="E34" s="6" t="str">
        <f>VLOOKUP(D34,'shipping inf'!B:D,2,FALSE)</f>
        <v>TP Hồ Chí Minh</v>
      </c>
      <c r="F34" s="6" t="s">
        <v>560</v>
      </c>
      <c r="G34" s="6">
        <v>60</v>
      </c>
      <c r="H34" s="6">
        <v>2411100101</v>
      </c>
      <c r="I34" s="6" t="s">
        <v>1362</v>
      </c>
      <c r="J34" s="6">
        <v>24</v>
      </c>
      <c r="K34" s="6">
        <v>24</v>
      </c>
      <c r="L34" s="6" t="s">
        <v>15</v>
      </c>
      <c r="M34" s="6" t="s">
        <v>37</v>
      </c>
      <c r="N34" s="6" t="str">
        <f>VLOOKUP(Table1[[#This Row],[elevator_traction_machine]],'Product inf'!A:B,2,FALSE)</f>
        <v>SP015</v>
      </c>
      <c r="O34" s="6" t="s">
        <v>3</v>
      </c>
      <c r="P34" s="6" t="s">
        <v>9</v>
      </c>
      <c r="Q34" s="6" t="s">
        <v>70</v>
      </c>
      <c r="R34" s="6" t="s">
        <v>68</v>
      </c>
      <c r="S34" s="6">
        <v>373000000</v>
      </c>
      <c r="U34" s="6">
        <v>373000000</v>
      </c>
      <c r="V34" s="6">
        <v>381500000</v>
      </c>
      <c r="X34" s="6">
        <v>12000000</v>
      </c>
      <c r="Y34" s="6">
        <v>6000000</v>
      </c>
      <c r="Z34" s="8">
        <v>45295</v>
      </c>
      <c r="AA34" s="6" t="s">
        <v>1878</v>
      </c>
    </row>
    <row r="35" spans="1:27" x14ac:dyDescent="0.25">
      <c r="A35" s="8">
        <v>45715</v>
      </c>
      <c r="B35" s="6" t="s">
        <v>263</v>
      </c>
      <c r="C35" s="6" t="s">
        <v>1424</v>
      </c>
      <c r="D35" s="6" t="s">
        <v>36</v>
      </c>
      <c r="E35" s="6" t="str">
        <f>VLOOKUP(D35,'shipping inf'!B:D,2,FALSE)</f>
        <v>TP Hồ Chí Minh</v>
      </c>
      <c r="F35" s="6" t="s">
        <v>561</v>
      </c>
      <c r="G35" s="6">
        <v>180</v>
      </c>
      <c r="H35" s="6">
        <v>2511100101</v>
      </c>
      <c r="I35" s="6" t="s">
        <v>1362</v>
      </c>
      <c r="J35" s="6">
        <v>24</v>
      </c>
      <c r="K35" s="6">
        <v>36</v>
      </c>
      <c r="L35" s="6" t="s">
        <v>19</v>
      </c>
      <c r="M35" s="6" t="s">
        <v>37</v>
      </c>
      <c r="N35" s="6" t="str">
        <f>VLOOKUP(Table1[[#This Row],[elevator_traction_machine]],'Product inf'!A:B,2,FALSE)</f>
        <v>SP015</v>
      </c>
      <c r="O35" s="6" t="s">
        <v>3</v>
      </c>
      <c r="P35" s="6" t="s">
        <v>9</v>
      </c>
      <c r="Q35" s="6" t="s">
        <v>70</v>
      </c>
      <c r="R35" s="6" t="s">
        <v>68</v>
      </c>
      <c r="S35" s="6">
        <v>436000000</v>
      </c>
      <c r="U35" s="6">
        <v>436000000</v>
      </c>
      <c r="V35" s="6">
        <v>445510000</v>
      </c>
      <c r="X35" s="6">
        <v>0</v>
      </c>
      <c r="Y35" s="6">
        <v>6000000</v>
      </c>
      <c r="Z35" s="8">
        <v>45716</v>
      </c>
      <c r="AA35" s="6" t="s">
        <v>2151</v>
      </c>
    </row>
    <row r="36" spans="1:27" x14ac:dyDescent="0.25">
      <c r="A36" s="8">
        <v>45358</v>
      </c>
      <c r="B36" s="6" t="s">
        <v>91</v>
      </c>
      <c r="C36" s="6" t="s">
        <v>1425</v>
      </c>
      <c r="D36" s="6" t="s">
        <v>92</v>
      </c>
      <c r="E36" s="6" t="str">
        <f>VLOOKUP(D36,'shipping inf'!B:D,2,FALSE)</f>
        <v>Quảng Trị</v>
      </c>
      <c r="F36" s="6" t="s">
        <v>562</v>
      </c>
      <c r="G36" s="6">
        <v>90</v>
      </c>
      <c r="H36" s="6">
        <v>2411100201</v>
      </c>
      <c r="I36" s="6" t="s">
        <v>1362</v>
      </c>
      <c r="J36" s="6">
        <v>24</v>
      </c>
      <c r="K36" s="6">
        <v>12</v>
      </c>
      <c r="L36" s="6" t="s">
        <v>19</v>
      </c>
      <c r="M36" s="6" t="s">
        <v>37</v>
      </c>
      <c r="N36" s="6" t="str">
        <f>VLOOKUP(Table1[[#This Row],[elevator_traction_machine]],'Product inf'!A:B,2,FALSE)</f>
        <v>SP009</v>
      </c>
      <c r="O36" s="6" t="s">
        <v>3</v>
      </c>
      <c r="P36" s="6" t="s">
        <v>9</v>
      </c>
      <c r="Q36" s="6" t="s">
        <v>82</v>
      </c>
      <c r="R36" s="6" t="s">
        <v>68</v>
      </c>
      <c r="S36" s="6">
        <v>323400000</v>
      </c>
      <c r="U36" s="6">
        <v>323400000</v>
      </c>
      <c r="Y36" s="6">
        <v>6000000</v>
      </c>
      <c r="Z36" s="8">
        <v>45372</v>
      </c>
      <c r="AA36" s="6" t="s">
        <v>1920</v>
      </c>
    </row>
    <row r="37" spans="1:27" x14ac:dyDescent="0.25">
      <c r="A37" s="8">
        <v>45761</v>
      </c>
      <c r="B37" s="6" t="s">
        <v>882</v>
      </c>
      <c r="C37" s="6" t="s">
        <v>1426</v>
      </c>
      <c r="D37" s="6" t="s">
        <v>36</v>
      </c>
      <c r="E37" s="6" t="str">
        <f>VLOOKUP(D37,'shipping inf'!B:D,2,FALSE)</f>
        <v>TP Hồ Chí Minh</v>
      </c>
      <c r="F37" s="6" t="s">
        <v>563</v>
      </c>
      <c r="G37" s="6">
        <v>540</v>
      </c>
      <c r="H37" s="6">
        <v>2511100201</v>
      </c>
      <c r="I37" s="6" t="s">
        <v>1362</v>
      </c>
      <c r="J37" s="6">
        <v>24</v>
      </c>
      <c r="K37" s="6">
        <v>24</v>
      </c>
      <c r="L37" s="6" t="s">
        <v>17</v>
      </c>
      <c r="M37" s="6" t="s">
        <v>37</v>
      </c>
      <c r="N37" s="6" t="str">
        <f>VLOOKUP(Table1[[#This Row],[elevator_traction_machine]],'Product inf'!A:B,2,FALSE)</f>
        <v>SP015</v>
      </c>
      <c r="O37" s="6" t="s">
        <v>3</v>
      </c>
      <c r="P37" s="6" t="s">
        <v>9</v>
      </c>
      <c r="Q37" s="6" t="s">
        <v>70</v>
      </c>
      <c r="R37" s="6" t="s">
        <v>68</v>
      </c>
      <c r="S37" s="6">
        <v>456000000</v>
      </c>
      <c r="U37" s="6">
        <v>456000000</v>
      </c>
      <c r="V37" s="6">
        <v>475000000</v>
      </c>
      <c r="X37" s="6">
        <v>25000000</v>
      </c>
      <c r="Y37" s="6">
        <v>6000000</v>
      </c>
      <c r="Z37" s="8">
        <v>45761</v>
      </c>
      <c r="AA37" s="6" t="s">
        <v>2193</v>
      </c>
    </row>
    <row r="38" spans="1:27" x14ac:dyDescent="0.25">
      <c r="A38" s="8">
        <v>45390</v>
      </c>
      <c r="B38" s="6" t="s">
        <v>95</v>
      </c>
      <c r="C38" s="6" t="s">
        <v>1427</v>
      </c>
      <c r="D38" s="6" t="s">
        <v>60</v>
      </c>
      <c r="E38" s="6" t="str">
        <f>VLOOKUP(D38,'shipping inf'!B:D,2,FALSE)</f>
        <v>Gia Lai</v>
      </c>
      <c r="F38" s="6" t="s">
        <v>564</v>
      </c>
      <c r="G38" s="6">
        <v>60</v>
      </c>
      <c r="H38" s="6">
        <v>2411100301</v>
      </c>
      <c r="I38" s="6" t="s">
        <v>1362</v>
      </c>
      <c r="J38" s="6">
        <v>24</v>
      </c>
      <c r="K38" s="6">
        <v>24</v>
      </c>
      <c r="L38" s="6" t="s">
        <v>19</v>
      </c>
      <c r="M38" s="6" t="s">
        <v>37</v>
      </c>
      <c r="N38" s="6" t="str">
        <f>VLOOKUP(Table1[[#This Row],[elevator_traction_machine]],'Product inf'!A:B,2,FALSE)</f>
        <v>SP015</v>
      </c>
      <c r="O38" s="6" t="s">
        <v>3</v>
      </c>
      <c r="P38" s="6" t="s">
        <v>9</v>
      </c>
      <c r="Q38" s="6" t="s">
        <v>70</v>
      </c>
      <c r="R38" s="6" t="s">
        <v>68</v>
      </c>
      <c r="S38" s="6">
        <v>380000000</v>
      </c>
      <c r="U38" s="6">
        <v>380000000</v>
      </c>
      <c r="V38" s="6">
        <v>394000000</v>
      </c>
      <c r="X38" s="6">
        <v>6000000</v>
      </c>
      <c r="Y38" s="6">
        <v>6000000</v>
      </c>
      <c r="Z38" s="8">
        <v>45392</v>
      </c>
      <c r="AA38" s="6" t="s">
        <v>1941</v>
      </c>
    </row>
    <row r="39" spans="1:27" x14ac:dyDescent="0.25">
      <c r="A39" s="8">
        <v>45742</v>
      </c>
      <c r="B39" s="6" t="s">
        <v>284</v>
      </c>
      <c r="C39" s="6" t="s">
        <v>1428</v>
      </c>
      <c r="D39" s="6" t="s">
        <v>36</v>
      </c>
      <c r="E39" s="6" t="str">
        <f>VLOOKUP(D39,'shipping inf'!B:D,2,FALSE)</f>
        <v>TP Hồ Chí Minh</v>
      </c>
      <c r="F39" s="6" t="s">
        <v>565</v>
      </c>
      <c r="G39" s="6">
        <v>150</v>
      </c>
      <c r="H39" s="6">
        <v>2511100301</v>
      </c>
      <c r="I39" s="6" t="s">
        <v>1362</v>
      </c>
      <c r="J39" s="6">
        <v>24</v>
      </c>
      <c r="K39" s="6">
        <v>24</v>
      </c>
      <c r="L39" s="6" t="s">
        <v>19</v>
      </c>
      <c r="M39" s="6" t="s">
        <v>37</v>
      </c>
      <c r="N39" s="6" t="str">
        <f>VLOOKUP(Table1[[#This Row],[elevator_traction_machine]],'Product inf'!A:B,2,FALSE)</f>
        <v>SP001</v>
      </c>
      <c r="O39" s="6" t="s">
        <v>3</v>
      </c>
      <c r="P39" s="6" t="s">
        <v>9</v>
      </c>
      <c r="Q39" s="6" t="s">
        <v>252</v>
      </c>
      <c r="R39" s="6" t="s">
        <v>68</v>
      </c>
      <c r="S39" s="6">
        <v>415000000</v>
      </c>
      <c r="U39" s="6">
        <v>415000000</v>
      </c>
      <c r="V39" s="6">
        <v>429000000</v>
      </c>
      <c r="X39" s="6">
        <v>10000000</v>
      </c>
      <c r="Y39" s="6">
        <v>6000000</v>
      </c>
      <c r="Z39" s="8">
        <v>45742</v>
      </c>
      <c r="AA39" s="6" t="s">
        <v>2172</v>
      </c>
    </row>
    <row r="40" spans="1:27" x14ac:dyDescent="0.25">
      <c r="A40" s="8">
        <v>45504</v>
      </c>
      <c r="B40" s="6" t="s">
        <v>171</v>
      </c>
      <c r="C40" s="6" t="s">
        <v>1429</v>
      </c>
      <c r="D40" s="6" t="s">
        <v>36</v>
      </c>
      <c r="E40" s="6" t="str">
        <f>VLOOKUP(D40,'shipping inf'!B:D,2,FALSE)</f>
        <v>TP Hồ Chí Minh</v>
      </c>
      <c r="F40" s="6" t="s">
        <v>566</v>
      </c>
      <c r="G40" s="6">
        <v>120</v>
      </c>
      <c r="H40" s="6">
        <v>2411100401</v>
      </c>
      <c r="I40" s="6" t="s">
        <v>1362</v>
      </c>
      <c r="J40" s="6">
        <v>24</v>
      </c>
      <c r="K40" s="6">
        <v>24</v>
      </c>
      <c r="L40" s="6" t="s">
        <v>19</v>
      </c>
      <c r="M40" s="6" t="s">
        <v>37</v>
      </c>
      <c r="N40" s="6" t="str">
        <f>VLOOKUP(Table1[[#This Row],[elevator_traction_machine]],'Product inf'!A:B,2,FALSE)</f>
        <v>SP015</v>
      </c>
      <c r="O40" s="6" t="s">
        <v>3</v>
      </c>
      <c r="P40" s="6" t="s">
        <v>9</v>
      </c>
      <c r="Q40" s="6" t="s">
        <v>70</v>
      </c>
      <c r="R40" s="6" t="s">
        <v>68</v>
      </c>
      <c r="S40" s="6">
        <v>391000000</v>
      </c>
      <c r="U40" s="6">
        <v>391000000</v>
      </c>
      <c r="V40" s="6">
        <v>394000000</v>
      </c>
      <c r="X40" s="6">
        <v>25000000</v>
      </c>
      <c r="Y40" s="6">
        <v>6000000</v>
      </c>
      <c r="Z40" s="8">
        <v>45519</v>
      </c>
      <c r="AA40" s="6" t="s">
        <v>2004</v>
      </c>
    </row>
    <row r="41" spans="1:27" x14ac:dyDescent="0.25">
      <c r="A41" s="8">
        <v>45757</v>
      </c>
      <c r="B41" s="6" t="s">
        <v>881</v>
      </c>
      <c r="C41" s="6" t="s">
        <v>1430</v>
      </c>
      <c r="D41" s="6" t="s">
        <v>36</v>
      </c>
      <c r="E41" s="6" t="str">
        <f>VLOOKUP(D41,'shipping inf'!B:D,2,FALSE)</f>
        <v>TP Hồ Chí Minh</v>
      </c>
      <c r="F41" s="6" t="s">
        <v>567</v>
      </c>
      <c r="G41" s="6">
        <v>90</v>
      </c>
      <c r="H41" s="6">
        <v>2511100401</v>
      </c>
      <c r="I41" s="6" t="s">
        <v>1362</v>
      </c>
      <c r="J41" s="6">
        <v>24</v>
      </c>
      <c r="K41" s="6">
        <v>24</v>
      </c>
      <c r="L41" s="6" t="s">
        <v>15</v>
      </c>
      <c r="M41" s="6" t="s">
        <v>37</v>
      </c>
      <c r="N41" s="6" t="str">
        <f>VLOOKUP(Table1[[#This Row],[elevator_traction_machine]],'Product inf'!A:B,2,FALSE)</f>
        <v>SP006</v>
      </c>
      <c r="O41" s="6" t="s">
        <v>3</v>
      </c>
      <c r="P41" s="6" t="s">
        <v>9</v>
      </c>
      <c r="Q41" s="6" t="s">
        <v>67</v>
      </c>
      <c r="R41" s="6" t="s">
        <v>68</v>
      </c>
      <c r="S41" s="6">
        <v>407400000</v>
      </c>
      <c r="T41" s="6">
        <v>32600000</v>
      </c>
      <c r="U41" s="6">
        <v>440000000</v>
      </c>
      <c r="V41" s="6">
        <v>416122000</v>
      </c>
      <c r="X41" s="6">
        <v>0</v>
      </c>
      <c r="Y41" s="6">
        <v>6000000</v>
      </c>
      <c r="Z41" s="8">
        <v>45758</v>
      </c>
      <c r="AA41" s="6" t="s">
        <v>2193</v>
      </c>
    </row>
    <row r="42" spans="1:27" x14ac:dyDescent="0.25">
      <c r="A42" s="8">
        <v>45444</v>
      </c>
      <c r="B42" s="6" t="s">
        <v>123</v>
      </c>
      <c r="C42" s="6" t="s">
        <v>1431</v>
      </c>
      <c r="D42" s="6" t="s">
        <v>36</v>
      </c>
      <c r="E42" s="6" t="str">
        <f>VLOOKUP(D42,'shipping inf'!B:D,2,FALSE)</f>
        <v>TP Hồ Chí Minh</v>
      </c>
      <c r="F42" s="6" t="s">
        <v>568</v>
      </c>
      <c r="G42" s="6">
        <v>120</v>
      </c>
      <c r="H42" s="6">
        <v>2411100501</v>
      </c>
      <c r="I42" s="6" t="s">
        <v>1362</v>
      </c>
      <c r="J42" s="6">
        <v>24</v>
      </c>
      <c r="K42" s="6">
        <v>24</v>
      </c>
      <c r="L42" s="6" t="s">
        <v>15</v>
      </c>
      <c r="M42" s="6" t="s">
        <v>37</v>
      </c>
      <c r="N42" s="6" t="str">
        <f>VLOOKUP(Table1[[#This Row],[elevator_traction_machine]],'Product inf'!A:B,2,FALSE)</f>
        <v>SP015</v>
      </c>
      <c r="O42" s="6" t="s">
        <v>3</v>
      </c>
      <c r="P42" s="6" t="s">
        <v>9</v>
      </c>
      <c r="Q42" s="6" t="s">
        <v>70</v>
      </c>
      <c r="R42" s="6" t="s">
        <v>68</v>
      </c>
      <c r="S42" s="6">
        <v>370000000</v>
      </c>
      <c r="U42" s="6">
        <v>370000000</v>
      </c>
      <c r="V42" s="6">
        <v>371500000</v>
      </c>
      <c r="X42" s="6">
        <v>20000000</v>
      </c>
      <c r="Y42" s="6">
        <v>6000000</v>
      </c>
      <c r="Z42" s="8">
        <v>45447</v>
      </c>
      <c r="AA42" s="6" t="s">
        <v>1983</v>
      </c>
    </row>
    <row r="43" spans="1:27" x14ac:dyDescent="0.25">
      <c r="A43" s="8">
        <v>45782</v>
      </c>
      <c r="B43" s="6" t="s">
        <v>300</v>
      </c>
      <c r="C43" s="6" t="s">
        <v>1432</v>
      </c>
      <c r="D43" s="6" t="s">
        <v>36</v>
      </c>
      <c r="E43" s="6" t="str">
        <f>VLOOKUP(D43,'shipping inf'!B:D,2,FALSE)</f>
        <v>TP Hồ Chí Minh</v>
      </c>
      <c r="F43" s="6" t="s">
        <v>569</v>
      </c>
      <c r="G43" s="6">
        <v>90</v>
      </c>
      <c r="H43" s="6">
        <v>2511100501</v>
      </c>
      <c r="I43" s="6" t="s">
        <v>1362</v>
      </c>
      <c r="J43" s="6">
        <v>24</v>
      </c>
      <c r="K43" s="6">
        <v>24</v>
      </c>
      <c r="L43" s="6" t="s">
        <v>15</v>
      </c>
      <c r="M43" s="6" t="s">
        <v>37</v>
      </c>
      <c r="N43" s="6" t="str">
        <f>VLOOKUP(Table1[[#This Row],[elevator_traction_machine]],'Product inf'!A:B,2,FALSE)</f>
        <v>SP001</v>
      </c>
      <c r="O43" s="6" t="s">
        <v>3</v>
      </c>
      <c r="P43" s="6" t="s">
        <v>9</v>
      </c>
      <c r="Q43" s="6" t="s">
        <v>252</v>
      </c>
      <c r="R43" s="6" t="s">
        <v>68</v>
      </c>
      <c r="S43" s="6">
        <v>352800000</v>
      </c>
      <c r="U43" s="6">
        <v>352800000</v>
      </c>
      <c r="V43" s="6">
        <v>352800000</v>
      </c>
      <c r="X43" s="6">
        <v>10000000</v>
      </c>
      <c r="Y43" s="6">
        <v>6000000</v>
      </c>
      <c r="Z43" s="8">
        <v>45782</v>
      </c>
      <c r="AA43" s="6" t="s">
        <v>2214</v>
      </c>
    </row>
    <row r="44" spans="1:27" x14ac:dyDescent="0.25">
      <c r="A44" s="8">
        <v>45457</v>
      </c>
      <c r="B44" s="6" t="s">
        <v>129</v>
      </c>
      <c r="C44" s="6" t="s">
        <v>1433</v>
      </c>
      <c r="D44" s="6" t="s">
        <v>36</v>
      </c>
      <c r="E44" s="6" t="str">
        <f>VLOOKUP(D44,'shipping inf'!B:D,2,FALSE)</f>
        <v>TP Hồ Chí Minh</v>
      </c>
      <c r="F44" s="6" t="s">
        <v>570</v>
      </c>
      <c r="G44" s="6">
        <v>75</v>
      </c>
      <c r="H44" s="6">
        <v>2411100601</v>
      </c>
      <c r="I44" s="6" t="s">
        <v>1362</v>
      </c>
      <c r="J44" s="6">
        <v>24</v>
      </c>
      <c r="K44" s="6">
        <v>24</v>
      </c>
      <c r="L44" s="6" t="s">
        <v>15</v>
      </c>
      <c r="M44" s="6" t="s">
        <v>37</v>
      </c>
      <c r="N44" s="6" t="str">
        <f>VLOOKUP(Table1[[#This Row],[elevator_traction_machine]],'Product inf'!A:B,2,FALSE)</f>
        <v>SP015</v>
      </c>
      <c r="O44" s="6" t="s">
        <v>8</v>
      </c>
      <c r="P44" s="6" t="s">
        <v>9</v>
      </c>
      <c r="Q44" s="6" t="s">
        <v>70</v>
      </c>
      <c r="R44" s="6" t="s">
        <v>68</v>
      </c>
      <c r="S44" s="6">
        <v>598000000</v>
      </c>
      <c r="U44" s="6">
        <v>598000000</v>
      </c>
      <c r="V44" s="6">
        <v>583060000</v>
      </c>
      <c r="X44" s="6">
        <v>35000000</v>
      </c>
      <c r="Y44" s="6">
        <v>6000000</v>
      </c>
      <c r="Z44" s="8">
        <v>45460</v>
      </c>
      <c r="AA44" s="6" t="s">
        <v>1983</v>
      </c>
    </row>
    <row r="45" spans="1:27" x14ac:dyDescent="0.25">
      <c r="A45" s="8">
        <v>45475</v>
      </c>
      <c r="B45" s="6" t="s">
        <v>145</v>
      </c>
      <c r="C45" s="6" t="s">
        <v>1434</v>
      </c>
      <c r="D45" s="6" t="s">
        <v>36</v>
      </c>
      <c r="E45" s="6" t="str">
        <f>VLOOKUP(D45,'shipping inf'!B:D,2,FALSE)</f>
        <v>TP Hồ Chí Minh</v>
      </c>
      <c r="F45" s="6" t="s">
        <v>571</v>
      </c>
      <c r="G45" s="6">
        <v>90</v>
      </c>
      <c r="H45" s="6">
        <v>2411100701</v>
      </c>
      <c r="I45" s="6" t="s">
        <v>1362</v>
      </c>
      <c r="J45" s="6">
        <v>24</v>
      </c>
      <c r="K45" s="6">
        <v>24</v>
      </c>
      <c r="L45" s="6" t="s">
        <v>19</v>
      </c>
      <c r="M45" s="6" t="s">
        <v>37</v>
      </c>
      <c r="N45" s="6" t="str">
        <f>VLOOKUP(Table1[[#This Row],[elevator_traction_machine]],'Product inf'!A:B,2,FALSE)</f>
        <v>SP006</v>
      </c>
      <c r="O45" s="6" t="s">
        <v>3</v>
      </c>
      <c r="P45" s="6" t="s">
        <v>9</v>
      </c>
      <c r="Q45" s="6" t="s">
        <v>67</v>
      </c>
      <c r="R45" s="6" t="s">
        <v>68</v>
      </c>
      <c r="S45" s="6">
        <v>326000000</v>
      </c>
      <c r="U45" s="6">
        <v>326000000</v>
      </c>
      <c r="V45" s="6">
        <v>346000000</v>
      </c>
      <c r="X45" s="6">
        <v>5000000</v>
      </c>
      <c r="Y45" s="6">
        <v>6000000</v>
      </c>
      <c r="Z45" s="8">
        <v>45484</v>
      </c>
      <c r="AA45" s="6" t="s">
        <v>2004</v>
      </c>
    </row>
    <row r="46" spans="1:27" x14ac:dyDescent="0.25">
      <c r="A46" s="8">
        <v>45481</v>
      </c>
      <c r="B46" s="6" t="s">
        <v>147</v>
      </c>
      <c r="C46" s="6" t="s">
        <v>1435</v>
      </c>
      <c r="D46" s="6" t="s">
        <v>36</v>
      </c>
      <c r="E46" s="6" t="str">
        <f>VLOOKUP(D46,'shipping inf'!B:D,2,FALSE)</f>
        <v>TP Hồ Chí Minh</v>
      </c>
      <c r="F46" s="6" t="s">
        <v>572</v>
      </c>
      <c r="G46" s="6">
        <v>150</v>
      </c>
      <c r="H46" s="6">
        <v>2411100801</v>
      </c>
      <c r="I46" s="6" t="s">
        <v>1362</v>
      </c>
      <c r="J46" s="6">
        <v>24</v>
      </c>
      <c r="K46" s="6">
        <v>24</v>
      </c>
      <c r="L46" s="6" t="s">
        <v>15</v>
      </c>
      <c r="M46" s="6" t="s">
        <v>37</v>
      </c>
      <c r="N46" s="6" t="str">
        <f>VLOOKUP(Table1[[#This Row],[elevator_traction_machine]],'Product inf'!A:B,2,FALSE)</f>
        <v>SP015</v>
      </c>
      <c r="O46" s="6" t="s">
        <v>3</v>
      </c>
      <c r="P46" s="6" t="s">
        <v>9</v>
      </c>
      <c r="Q46" s="6" t="s">
        <v>70</v>
      </c>
      <c r="R46" s="6" t="s">
        <v>68</v>
      </c>
      <c r="S46" s="6">
        <v>410000000</v>
      </c>
      <c r="U46" s="6">
        <v>410000000</v>
      </c>
      <c r="V46" s="6">
        <v>435400000</v>
      </c>
      <c r="X46" s="6">
        <v>6000000</v>
      </c>
      <c r="Y46" s="6">
        <v>6000000</v>
      </c>
      <c r="Z46" s="8">
        <v>45486</v>
      </c>
      <c r="AA46" s="6" t="s">
        <v>2004</v>
      </c>
    </row>
    <row r="47" spans="1:27" x14ac:dyDescent="0.25">
      <c r="A47" s="8">
        <v>45498</v>
      </c>
      <c r="B47" s="6" t="s">
        <v>157</v>
      </c>
      <c r="C47" s="6" t="s">
        <v>1436</v>
      </c>
      <c r="D47" s="6" t="s">
        <v>36</v>
      </c>
      <c r="E47" s="6" t="str">
        <f>VLOOKUP(D47,'shipping inf'!B:D,2,FALSE)</f>
        <v>TP Hồ Chí Minh</v>
      </c>
      <c r="F47" s="6" t="s">
        <v>573</v>
      </c>
      <c r="G47" s="6">
        <v>54</v>
      </c>
      <c r="H47" s="6">
        <v>2411100901</v>
      </c>
      <c r="I47" s="6" t="s">
        <v>1362</v>
      </c>
      <c r="J47" s="6">
        <v>24</v>
      </c>
      <c r="K47" s="6">
        <v>24</v>
      </c>
      <c r="L47" s="6" t="s">
        <v>19</v>
      </c>
      <c r="M47" s="6" t="s">
        <v>37</v>
      </c>
      <c r="N47" s="6" t="str">
        <f>VLOOKUP(Table1[[#This Row],[elevator_traction_machine]],'Product inf'!A:B,2,FALSE)</f>
        <v>SP006</v>
      </c>
      <c r="O47" s="6" t="s">
        <v>3</v>
      </c>
      <c r="P47" s="6" t="s">
        <v>9</v>
      </c>
      <c r="Q47" s="6" t="s">
        <v>67</v>
      </c>
      <c r="R47" s="6" t="s">
        <v>68</v>
      </c>
      <c r="S47" s="6">
        <v>377000000</v>
      </c>
      <c r="U47" s="6">
        <v>377000000</v>
      </c>
      <c r="V47" s="6">
        <v>396450000</v>
      </c>
      <c r="Y47" s="6">
        <v>6000000</v>
      </c>
      <c r="Z47" s="8">
        <v>45500</v>
      </c>
      <c r="AA47" s="6" t="s">
        <v>2004</v>
      </c>
    </row>
    <row r="48" spans="1:27" x14ac:dyDescent="0.25">
      <c r="A48" s="8">
        <v>45416</v>
      </c>
      <c r="B48" s="6" t="s">
        <v>878</v>
      </c>
      <c r="C48" s="6" t="s">
        <v>1437</v>
      </c>
      <c r="D48" s="6" t="s">
        <v>105</v>
      </c>
      <c r="E48" s="6" t="str">
        <f>VLOOKUP(D48,'shipping inf'!B:D,2,FALSE)</f>
        <v>Phú Thọ</v>
      </c>
      <c r="F48" s="6" t="s">
        <v>574</v>
      </c>
      <c r="G48" s="6">
        <v>100</v>
      </c>
      <c r="H48" s="6">
        <v>2410101101</v>
      </c>
      <c r="I48" s="6" t="s">
        <v>1375</v>
      </c>
      <c r="J48" s="6">
        <v>24</v>
      </c>
      <c r="K48" s="6">
        <v>12</v>
      </c>
      <c r="L48" s="6" t="s">
        <v>2</v>
      </c>
      <c r="M48" s="6" t="s">
        <v>37</v>
      </c>
      <c r="N48" s="6" t="str">
        <f>VLOOKUP(Table1[[#This Row],[elevator_traction_machine]],'Product inf'!A:B,2,FALSE)</f>
        <v>SP006</v>
      </c>
      <c r="O48" s="6" t="s">
        <v>3</v>
      </c>
      <c r="P48" s="6" t="s">
        <v>4</v>
      </c>
      <c r="Q48" s="6" t="s">
        <v>67</v>
      </c>
      <c r="R48" s="6" t="s">
        <v>68</v>
      </c>
      <c r="S48" s="6">
        <v>603000000</v>
      </c>
      <c r="T48" s="6">
        <v>48240000</v>
      </c>
      <c r="U48" s="6">
        <v>651240000</v>
      </c>
      <c r="X48" s="6">
        <v>80000000</v>
      </c>
      <c r="Y48" s="6">
        <v>7030000</v>
      </c>
      <c r="Z48" s="8">
        <v>45421</v>
      </c>
      <c r="AA48" s="6" t="s">
        <v>1975</v>
      </c>
    </row>
    <row r="49" spans="1:27" x14ac:dyDescent="0.25">
      <c r="A49" s="8">
        <v>45736</v>
      </c>
      <c r="B49" s="6" t="s">
        <v>277</v>
      </c>
      <c r="C49" s="6" t="s">
        <v>1438</v>
      </c>
      <c r="D49" s="6" t="s">
        <v>62</v>
      </c>
      <c r="E49" s="6" t="str">
        <f>VLOOKUP(D49,'shipping inf'!B:D,2,FALSE)</f>
        <v>Vĩnh Long</v>
      </c>
      <c r="F49" s="6" t="s">
        <v>575</v>
      </c>
      <c r="G49" s="6">
        <v>75</v>
      </c>
      <c r="H49" s="6">
        <v>2510101101</v>
      </c>
      <c r="I49" s="6" t="s">
        <v>1375</v>
      </c>
      <c r="J49" s="6">
        <v>24</v>
      </c>
      <c r="K49" s="6">
        <v>12</v>
      </c>
      <c r="L49" s="6" t="s">
        <v>2</v>
      </c>
      <c r="M49" s="6" t="s">
        <v>37</v>
      </c>
      <c r="N49" s="6" t="str">
        <f>VLOOKUP(Table1[[#This Row],[elevator_traction_machine]],'Product inf'!A:B,2,FALSE)</f>
        <v>SP006</v>
      </c>
      <c r="O49" s="6" t="s">
        <v>3</v>
      </c>
      <c r="P49" s="6" t="s">
        <v>9</v>
      </c>
      <c r="Q49" s="6" t="s">
        <v>67</v>
      </c>
      <c r="R49" s="6" t="s">
        <v>68</v>
      </c>
      <c r="S49" s="6">
        <v>360000000</v>
      </c>
      <c r="T49" s="6">
        <v>28800000</v>
      </c>
      <c r="U49" s="6">
        <v>388800000</v>
      </c>
      <c r="V49" s="6">
        <v>384620000</v>
      </c>
      <c r="X49" s="6">
        <v>0</v>
      </c>
      <c r="Y49" s="6">
        <v>4800000</v>
      </c>
      <c r="Z49" s="8">
        <v>45736</v>
      </c>
      <c r="AA49" s="6" t="s">
        <v>2185</v>
      </c>
    </row>
    <row r="50" spans="1:27" x14ac:dyDescent="0.25">
      <c r="A50" s="8">
        <v>45505</v>
      </c>
      <c r="B50" s="6" t="s">
        <v>163</v>
      </c>
      <c r="C50" s="6" t="s">
        <v>1439</v>
      </c>
      <c r="D50" s="6" t="s">
        <v>36</v>
      </c>
      <c r="E50" s="6" t="str">
        <f>VLOOKUP(D50,'shipping inf'!B:D,2,FALSE)</f>
        <v>TP Hồ Chí Minh</v>
      </c>
      <c r="F50" s="6" t="s">
        <v>576</v>
      </c>
      <c r="G50" s="6">
        <v>75</v>
      </c>
      <c r="H50" s="6">
        <v>2411101001</v>
      </c>
      <c r="I50" s="6" t="s">
        <v>1362</v>
      </c>
      <c r="J50" s="6">
        <v>24</v>
      </c>
      <c r="K50" s="6">
        <v>24</v>
      </c>
      <c r="L50" s="6" t="s">
        <v>15</v>
      </c>
      <c r="M50" s="6" t="s">
        <v>37</v>
      </c>
      <c r="N50" s="6" t="str">
        <f>VLOOKUP(Table1[[#This Row],[elevator_traction_machine]],'Product inf'!A:B,2,FALSE)</f>
        <v>SP006</v>
      </c>
      <c r="O50" s="6" t="s">
        <v>3</v>
      </c>
      <c r="P50" s="6" t="s">
        <v>9</v>
      </c>
      <c r="Q50" s="6" t="s">
        <v>67</v>
      </c>
      <c r="R50" s="6" t="s">
        <v>68</v>
      </c>
      <c r="S50" s="6">
        <v>330000000</v>
      </c>
      <c r="U50" s="6">
        <v>330000000</v>
      </c>
      <c r="V50" s="6">
        <v>669600000</v>
      </c>
      <c r="X50" s="6">
        <v>40000000</v>
      </c>
      <c r="Y50" s="6">
        <v>12000000</v>
      </c>
      <c r="Z50" s="8">
        <v>45505</v>
      </c>
      <c r="AA50" s="6" t="s">
        <v>2025</v>
      </c>
    </row>
    <row r="51" spans="1:27" x14ac:dyDescent="0.25">
      <c r="A51" s="8">
        <v>45505</v>
      </c>
      <c r="B51" s="6" t="s">
        <v>163</v>
      </c>
      <c r="C51" s="6" t="s">
        <v>1440</v>
      </c>
      <c r="D51" s="6" t="s">
        <v>36</v>
      </c>
      <c r="E51" s="6" t="str">
        <f>VLOOKUP(D51,'shipping inf'!B:D,2,FALSE)</f>
        <v>TP Hồ Chí Minh</v>
      </c>
      <c r="F51" s="6" t="s">
        <v>576</v>
      </c>
      <c r="G51" s="6">
        <v>75</v>
      </c>
      <c r="H51" s="6">
        <v>2411101002</v>
      </c>
      <c r="I51" s="6" t="s">
        <v>1362</v>
      </c>
      <c r="J51" s="6">
        <v>24</v>
      </c>
      <c r="K51" s="6">
        <v>24</v>
      </c>
      <c r="L51" s="6" t="s">
        <v>15</v>
      </c>
      <c r="M51" s="6" t="s">
        <v>37</v>
      </c>
      <c r="N51" s="6" t="str">
        <f>VLOOKUP(Table1[[#This Row],[elevator_traction_machine]],'Product inf'!A:B,2,FALSE)</f>
        <v>SP006</v>
      </c>
      <c r="O51" s="6" t="s">
        <v>3</v>
      </c>
      <c r="P51" s="6" t="s">
        <v>9</v>
      </c>
      <c r="Q51" s="6" t="s">
        <v>67</v>
      </c>
      <c r="R51" s="6" t="s">
        <v>68</v>
      </c>
      <c r="S51" s="6">
        <v>330000000</v>
      </c>
      <c r="U51" s="6">
        <v>330000000</v>
      </c>
      <c r="V51" s="6">
        <v>669600000</v>
      </c>
      <c r="Z51" s="8">
        <v>45505</v>
      </c>
      <c r="AA51" s="6" t="s">
        <v>2025</v>
      </c>
    </row>
    <row r="52" spans="1:27" x14ac:dyDescent="0.25">
      <c r="A52" s="8">
        <v>45517</v>
      </c>
      <c r="B52" s="6" t="s">
        <v>170</v>
      </c>
      <c r="C52" s="6" t="s">
        <v>1441</v>
      </c>
      <c r="D52" s="6" t="s">
        <v>36</v>
      </c>
      <c r="E52" s="6" t="str">
        <f>VLOOKUP(D52,'shipping inf'!B:D,2,FALSE)</f>
        <v>TP Hồ Chí Minh</v>
      </c>
      <c r="F52" s="6" t="s">
        <v>577</v>
      </c>
      <c r="G52" s="6">
        <v>90</v>
      </c>
      <c r="H52" s="6">
        <v>2411101101</v>
      </c>
      <c r="I52" s="6" t="s">
        <v>1362</v>
      </c>
      <c r="J52" s="6">
        <v>24</v>
      </c>
      <c r="K52" s="6">
        <v>24</v>
      </c>
      <c r="L52" s="6" t="s">
        <v>15</v>
      </c>
      <c r="M52" s="6" t="s">
        <v>37</v>
      </c>
      <c r="N52" s="6" t="str">
        <f>VLOOKUP(Table1[[#This Row],[elevator_traction_machine]],'Product inf'!A:B,2,FALSE)</f>
        <v>SP015</v>
      </c>
      <c r="O52" s="6" t="s">
        <v>3</v>
      </c>
      <c r="P52" s="6" t="s">
        <v>9</v>
      </c>
      <c r="Q52" s="6" t="s">
        <v>70</v>
      </c>
      <c r="R52" s="6" t="s">
        <v>68</v>
      </c>
      <c r="S52" s="6">
        <v>354000000</v>
      </c>
      <c r="U52" s="6">
        <v>354000000</v>
      </c>
      <c r="V52" s="6">
        <v>361954000</v>
      </c>
      <c r="X52" s="6">
        <v>20000000</v>
      </c>
      <c r="Y52" s="6">
        <v>6000000</v>
      </c>
      <c r="Z52" s="8">
        <v>45517</v>
      </c>
      <c r="AA52" s="6" t="s">
        <v>2025</v>
      </c>
    </row>
    <row r="53" spans="1:27" x14ac:dyDescent="0.25">
      <c r="A53" s="8">
        <v>45532</v>
      </c>
      <c r="B53" s="6" t="s">
        <v>181</v>
      </c>
      <c r="C53" s="6" t="s">
        <v>1442</v>
      </c>
      <c r="D53" s="6" t="s">
        <v>36</v>
      </c>
      <c r="E53" s="6" t="str">
        <f>VLOOKUP(D53,'shipping inf'!B:D,2,FALSE)</f>
        <v>TP Hồ Chí Minh</v>
      </c>
      <c r="F53" s="6" t="s">
        <v>578</v>
      </c>
      <c r="G53" s="6">
        <v>120</v>
      </c>
      <c r="H53" s="6">
        <v>2411101201</v>
      </c>
      <c r="I53" s="6" t="s">
        <v>1362</v>
      </c>
      <c r="J53" s="6">
        <v>24</v>
      </c>
      <c r="K53" s="6">
        <v>24</v>
      </c>
      <c r="L53" s="6" t="s">
        <v>15</v>
      </c>
      <c r="M53" s="6" t="s">
        <v>37</v>
      </c>
      <c r="N53" s="6" t="str">
        <f>VLOOKUP(Table1[[#This Row],[elevator_traction_machine]],'Product inf'!A:B,2,FALSE)</f>
        <v>SP006</v>
      </c>
      <c r="O53" s="6" t="s">
        <v>8</v>
      </c>
      <c r="P53" s="6" t="s">
        <v>9</v>
      </c>
      <c r="Q53" s="6" t="s">
        <v>67</v>
      </c>
      <c r="R53" s="6" t="s">
        <v>68</v>
      </c>
      <c r="S53" s="6">
        <v>658000000</v>
      </c>
      <c r="U53" s="6">
        <v>658000000</v>
      </c>
      <c r="V53" s="6">
        <v>663450000</v>
      </c>
      <c r="X53" s="6">
        <v>25000000</v>
      </c>
      <c r="Y53" s="6">
        <v>6000000</v>
      </c>
      <c r="Z53" s="8">
        <v>45532</v>
      </c>
      <c r="AA53" s="6" t="s">
        <v>2025</v>
      </c>
    </row>
    <row r="54" spans="1:27" x14ac:dyDescent="0.25">
      <c r="A54" s="8">
        <v>45582</v>
      </c>
      <c r="B54" s="6" t="s">
        <v>209</v>
      </c>
      <c r="C54" s="6" t="s">
        <v>1443</v>
      </c>
      <c r="D54" s="6" t="s">
        <v>36</v>
      </c>
      <c r="E54" s="6" t="str">
        <f>VLOOKUP(D54,'shipping inf'!B:D,2,FALSE)</f>
        <v>TP Hồ Chí Minh</v>
      </c>
      <c r="F54" s="6" t="s">
        <v>579</v>
      </c>
      <c r="G54" s="6">
        <v>60</v>
      </c>
      <c r="H54" s="6">
        <v>2411101401</v>
      </c>
      <c r="I54" s="6" t="s">
        <v>1362</v>
      </c>
      <c r="J54" s="6">
        <v>24</v>
      </c>
      <c r="K54" s="6">
        <v>24</v>
      </c>
      <c r="L54" s="6" t="s">
        <v>15</v>
      </c>
      <c r="M54" s="6" t="s">
        <v>37</v>
      </c>
      <c r="N54" s="6" t="str">
        <f>VLOOKUP(Table1[[#This Row],[elevator_traction_machine]],'Product inf'!A:B,2,FALSE)</f>
        <v>SP015</v>
      </c>
      <c r="O54" s="6" t="s">
        <v>3</v>
      </c>
      <c r="P54" s="6" t="s">
        <v>9</v>
      </c>
      <c r="Q54" s="6" t="s">
        <v>70</v>
      </c>
      <c r="R54" s="6" t="s">
        <v>68</v>
      </c>
      <c r="S54" s="6">
        <v>395000000</v>
      </c>
      <c r="U54" s="6">
        <v>395000000</v>
      </c>
      <c r="V54" s="6">
        <v>405100000</v>
      </c>
      <c r="X54" s="6">
        <v>5000000</v>
      </c>
      <c r="Y54" s="6">
        <v>6000000</v>
      </c>
      <c r="Z54" s="8">
        <v>45582</v>
      </c>
      <c r="AA54" s="6" t="s">
        <v>2067</v>
      </c>
    </row>
    <row r="55" spans="1:27" x14ac:dyDescent="0.25">
      <c r="A55" s="8">
        <v>45581</v>
      </c>
      <c r="B55" s="6" t="s">
        <v>207</v>
      </c>
      <c r="C55" s="6" t="s">
        <v>1444</v>
      </c>
      <c r="D55" s="6" t="s">
        <v>60</v>
      </c>
      <c r="E55" s="6" t="str">
        <f>VLOOKUP(D55,'shipping inf'!B:D,2,FALSE)</f>
        <v>Gia Lai</v>
      </c>
      <c r="F55" s="6" t="s">
        <v>580</v>
      </c>
      <c r="G55" s="6">
        <v>75</v>
      </c>
      <c r="H55" s="6">
        <v>2411101501</v>
      </c>
      <c r="I55" s="6" t="s">
        <v>1362</v>
      </c>
      <c r="J55" s="6">
        <v>24</v>
      </c>
      <c r="K55" s="6">
        <v>24</v>
      </c>
      <c r="L55" s="6" t="s">
        <v>15</v>
      </c>
      <c r="M55" s="6" t="s">
        <v>37</v>
      </c>
      <c r="N55" s="6" t="str">
        <f>VLOOKUP(Table1[[#This Row],[elevator_traction_machine]],'Product inf'!A:B,2,FALSE)</f>
        <v>SP006</v>
      </c>
      <c r="O55" s="6" t="s">
        <v>3</v>
      </c>
      <c r="P55" s="6" t="s">
        <v>9</v>
      </c>
      <c r="Q55" s="6" t="s">
        <v>67</v>
      </c>
      <c r="R55" s="6" t="s">
        <v>68</v>
      </c>
      <c r="S55" s="6">
        <v>405000000</v>
      </c>
      <c r="U55" s="6">
        <v>405000000</v>
      </c>
      <c r="V55" s="6">
        <v>418723500</v>
      </c>
      <c r="X55" s="6">
        <v>8000000</v>
      </c>
      <c r="Y55" s="6">
        <v>6000000</v>
      </c>
      <c r="Z55" s="8">
        <v>45582</v>
      </c>
      <c r="AA55" s="6" t="s">
        <v>2067</v>
      </c>
    </row>
    <row r="56" spans="1:27" x14ac:dyDescent="0.25">
      <c r="A56" s="8">
        <v>45587</v>
      </c>
      <c r="B56" s="6" t="s">
        <v>214</v>
      </c>
      <c r="C56" s="6" t="s">
        <v>1445</v>
      </c>
      <c r="D56" s="6" t="s">
        <v>46</v>
      </c>
      <c r="E56" s="6" t="str">
        <f>VLOOKUP(D56,'shipping inf'!B:D,2,FALSE)</f>
        <v>Tây Ninh</v>
      </c>
      <c r="F56" s="6" t="s">
        <v>581</v>
      </c>
      <c r="G56" s="6">
        <v>75</v>
      </c>
      <c r="H56" s="6">
        <v>2411101601</v>
      </c>
      <c r="I56" s="6" t="s">
        <v>1362</v>
      </c>
      <c r="J56" s="6">
        <v>24</v>
      </c>
      <c r="K56" s="6">
        <v>24</v>
      </c>
      <c r="L56" s="6" t="s">
        <v>19</v>
      </c>
      <c r="M56" s="6" t="s">
        <v>37</v>
      </c>
      <c r="N56" s="6" t="str">
        <f>VLOOKUP(Table1[[#This Row],[elevator_traction_machine]],'Product inf'!A:B,2,FALSE)</f>
        <v>SP006</v>
      </c>
      <c r="O56" s="6" t="s">
        <v>3</v>
      </c>
      <c r="P56" s="6" t="s">
        <v>9</v>
      </c>
      <c r="Q56" s="6" t="s">
        <v>67</v>
      </c>
      <c r="R56" s="6" t="s">
        <v>68</v>
      </c>
      <c r="S56" s="6">
        <v>360000000</v>
      </c>
      <c r="U56" s="6">
        <v>360000000</v>
      </c>
      <c r="V56" s="6">
        <v>365000000</v>
      </c>
      <c r="X56" s="6">
        <v>8000000</v>
      </c>
      <c r="Y56" s="6">
        <v>6000000</v>
      </c>
      <c r="Z56" s="8">
        <v>45588</v>
      </c>
      <c r="AA56" s="6" t="s">
        <v>2067</v>
      </c>
    </row>
    <row r="57" spans="1:27" x14ac:dyDescent="0.25">
      <c r="A57" s="8">
        <v>45609</v>
      </c>
      <c r="B57" s="6" t="s">
        <v>224</v>
      </c>
      <c r="C57" s="6" t="s">
        <v>1446</v>
      </c>
      <c r="D57" s="6" t="s">
        <v>36</v>
      </c>
      <c r="E57" s="6" t="str">
        <f>VLOOKUP(D57,'shipping inf'!B:D,2,FALSE)</f>
        <v>TP Hồ Chí Minh</v>
      </c>
      <c r="F57" s="6" t="s">
        <v>582</v>
      </c>
      <c r="G57" s="6">
        <v>360</v>
      </c>
      <c r="H57" s="6">
        <v>2411101701</v>
      </c>
      <c r="I57" s="6" t="s">
        <v>1362</v>
      </c>
      <c r="J57" s="6">
        <v>24</v>
      </c>
      <c r="K57" s="6">
        <v>24</v>
      </c>
      <c r="L57" s="6" t="s">
        <v>15</v>
      </c>
      <c r="M57" s="6" t="s">
        <v>37</v>
      </c>
      <c r="N57" s="6" t="str">
        <f>VLOOKUP(Table1[[#This Row],[elevator_traction_machine]],'Product inf'!A:B,2,FALSE)</f>
        <v>SP006</v>
      </c>
      <c r="O57" s="6" t="s">
        <v>3</v>
      </c>
      <c r="P57" s="6" t="s">
        <v>9</v>
      </c>
      <c r="Q57" s="6" t="s">
        <v>67</v>
      </c>
      <c r="R57" s="6" t="s">
        <v>68</v>
      </c>
      <c r="S57" s="6">
        <v>348500000</v>
      </c>
      <c r="U57" s="6">
        <v>348500000</v>
      </c>
      <c r="V57" s="6">
        <v>374500000</v>
      </c>
      <c r="Y57" s="6">
        <v>6000000</v>
      </c>
      <c r="Z57" s="8">
        <v>45610</v>
      </c>
      <c r="AA57" s="6" t="s">
        <v>2088</v>
      </c>
    </row>
    <row r="58" spans="1:27" x14ac:dyDescent="0.25">
      <c r="A58" s="8">
        <v>45435</v>
      </c>
      <c r="B58" s="6" t="s">
        <v>117</v>
      </c>
      <c r="C58" s="6" t="s">
        <v>1447</v>
      </c>
      <c r="D58" s="6" t="s">
        <v>36</v>
      </c>
      <c r="E58" s="6" t="str">
        <f>VLOOKUP(D58,'shipping inf'!B:D,2,FALSE)</f>
        <v>TP Hồ Chí Minh</v>
      </c>
      <c r="F58" s="6" t="s">
        <v>583</v>
      </c>
      <c r="G58" s="6">
        <v>90</v>
      </c>
      <c r="H58" s="6">
        <v>2410101201</v>
      </c>
      <c r="I58" s="6" t="s">
        <v>1375</v>
      </c>
      <c r="J58" s="6">
        <v>24</v>
      </c>
      <c r="K58" s="6">
        <v>12</v>
      </c>
      <c r="L58" s="6" t="s">
        <v>2</v>
      </c>
      <c r="M58" s="6" t="s">
        <v>37</v>
      </c>
      <c r="N58" s="6" t="str">
        <f>VLOOKUP(Table1[[#This Row],[elevator_traction_machine]],'Product inf'!A:B,2,FALSE)</f>
        <v>SP006</v>
      </c>
      <c r="O58" s="6" t="s">
        <v>3</v>
      </c>
      <c r="P58" s="6" t="s">
        <v>9</v>
      </c>
      <c r="Q58" s="6" t="s">
        <v>67</v>
      </c>
      <c r="R58" s="6" t="s">
        <v>68</v>
      </c>
      <c r="S58" s="6">
        <v>360000000</v>
      </c>
      <c r="U58" s="6">
        <v>360000000</v>
      </c>
      <c r="Y58" s="6">
        <v>4600000</v>
      </c>
      <c r="Z58" s="8">
        <v>45437</v>
      </c>
      <c r="AA58" s="6" t="s">
        <v>1975</v>
      </c>
    </row>
    <row r="59" spans="1:27" x14ac:dyDescent="0.25">
      <c r="A59" s="8">
        <v>45744</v>
      </c>
      <c r="B59" s="6" t="s">
        <v>285</v>
      </c>
      <c r="C59" s="6" t="s">
        <v>1448</v>
      </c>
      <c r="D59" s="6" t="s">
        <v>44</v>
      </c>
      <c r="E59" s="6" t="str">
        <f>VLOOKUP(D59,'shipping inf'!B:D,2,FALSE)</f>
        <v>Lâm Đồng</v>
      </c>
      <c r="F59" s="6" t="s">
        <v>584</v>
      </c>
      <c r="G59" s="6">
        <v>75</v>
      </c>
      <c r="H59" s="6">
        <v>2510111201</v>
      </c>
      <c r="I59" s="6" t="s">
        <v>1375</v>
      </c>
      <c r="J59" s="6">
        <v>24</v>
      </c>
      <c r="K59" s="6">
        <v>12</v>
      </c>
      <c r="L59" s="6" t="s">
        <v>2</v>
      </c>
      <c r="M59" s="6" t="s">
        <v>37</v>
      </c>
      <c r="N59" s="6" t="str">
        <f>VLOOKUP(Table1[[#This Row],[elevator_traction_machine]],'Product inf'!A:B,2,FALSE)</f>
        <v>SP010</v>
      </c>
      <c r="O59" s="6" t="s">
        <v>3</v>
      </c>
      <c r="P59" s="6" t="s">
        <v>9</v>
      </c>
      <c r="Q59" s="6" t="s">
        <v>254</v>
      </c>
      <c r="R59" s="6" t="s">
        <v>255</v>
      </c>
      <c r="S59" s="6">
        <v>335000000</v>
      </c>
      <c r="U59" s="6">
        <v>335000000</v>
      </c>
      <c r="V59" s="6">
        <v>363000000</v>
      </c>
      <c r="Y59" s="6">
        <v>4550000</v>
      </c>
      <c r="Z59" s="8">
        <v>45744</v>
      </c>
      <c r="AA59" s="6" t="s">
        <v>2185</v>
      </c>
    </row>
    <row r="60" spans="1:27" x14ac:dyDescent="0.25">
      <c r="A60" s="8">
        <v>45443</v>
      </c>
      <c r="B60" s="6" t="s">
        <v>128</v>
      </c>
      <c r="C60" s="6" t="s">
        <v>1449</v>
      </c>
      <c r="D60" s="6" t="s">
        <v>36</v>
      </c>
      <c r="E60" s="6" t="str">
        <f>VLOOKUP(D60,'shipping inf'!B:D,2,FALSE)</f>
        <v>TP Hồ Chí Minh</v>
      </c>
      <c r="F60" s="6" t="s">
        <v>585</v>
      </c>
      <c r="G60" s="6">
        <v>90</v>
      </c>
      <c r="H60" s="6">
        <v>2410101401</v>
      </c>
      <c r="I60" s="6" t="s">
        <v>1375</v>
      </c>
      <c r="J60" s="6">
        <v>36</v>
      </c>
      <c r="K60" s="6">
        <v>36</v>
      </c>
      <c r="L60" s="6" t="s">
        <v>2</v>
      </c>
      <c r="M60" s="6" t="s">
        <v>37</v>
      </c>
      <c r="N60" s="6" t="str">
        <f>VLOOKUP(Table1[[#This Row],[elevator_traction_machine]],'Product inf'!A:B,2,FALSE)</f>
        <v>SP015</v>
      </c>
      <c r="O60" s="6" t="s">
        <v>3</v>
      </c>
      <c r="P60" s="6" t="s">
        <v>9</v>
      </c>
      <c r="Q60" s="6" t="s">
        <v>70</v>
      </c>
      <c r="R60" s="6" t="s">
        <v>68</v>
      </c>
      <c r="S60" s="6">
        <v>499000000</v>
      </c>
      <c r="U60" s="6">
        <v>499000000</v>
      </c>
      <c r="Y60" s="6">
        <v>5990000</v>
      </c>
      <c r="Z60" s="8">
        <v>45460</v>
      </c>
      <c r="AA60" s="6" t="s">
        <v>1975</v>
      </c>
    </row>
    <row r="61" spans="1:27" x14ac:dyDescent="0.25">
      <c r="A61" s="8">
        <v>45768</v>
      </c>
      <c r="B61" s="6" t="s">
        <v>295</v>
      </c>
      <c r="C61" s="6" t="s">
        <v>1450</v>
      </c>
      <c r="D61" s="6" t="s">
        <v>36</v>
      </c>
      <c r="E61" s="6" t="str">
        <f>VLOOKUP(D61,'shipping inf'!B:D,2,FALSE)</f>
        <v>TP Hồ Chí Minh</v>
      </c>
      <c r="F61" s="6" t="s">
        <v>586</v>
      </c>
      <c r="G61" s="6">
        <v>60</v>
      </c>
      <c r="H61" s="6">
        <v>2510101401</v>
      </c>
      <c r="I61" s="6" t="s">
        <v>1375</v>
      </c>
      <c r="J61" s="6">
        <v>24</v>
      </c>
      <c r="K61" s="6">
        <v>12</v>
      </c>
      <c r="L61" s="6" t="s">
        <v>2</v>
      </c>
      <c r="M61" s="6" t="s">
        <v>37</v>
      </c>
      <c r="N61" s="6" t="str">
        <f>VLOOKUP(Table1[[#This Row],[elevator_traction_machine]],'Product inf'!A:B,2,FALSE)</f>
        <v>SP006</v>
      </c>
      <c r="O61" s="6" t="s">
        <v>3</v>
      </c>
      <c r="P61" s="6" t="s">
        <v>9</v>
      </c>
      <c r="Q61" s="6" t="s">
        <v>67</v>
      </c>
      <c r="R61" s="6" t="s">
        <v>68</v>
      </c>
      <c r="S61" s="6">
        <v>390000000</v>
      </c>
      <c r="U61" s="6">
        <v>390000000</v>
      </c>
      <c r="V61" s="6">
        <v>382000000</v>
      </c>
      <c r="Z61" s="8">
        <v>45768</v>
      </c>
      <c r="AA61" s="6" t="s">
        <v>2206</v>
      </c>
    </row>
    <row r="62" spans="1:27" x14ac:dyDescent="0.25">
      <c r="A62" s="8">
        <v>45439</v>
      </c>
      <c r="B62" s="6" t="s">
        <v>118</v>
      </c>
      <c r="C62" s="6" t="s">
        <v>1451</v>
      </c>
      <c r="D62" s="6" t="s">
        <v>48</v>
      </c>
      <c r="E62" s="6" t="str">
        <f>VLOOKUP(D62,'shipping inf'!B:D,2,FALSE)</f>
        <v>Đồng Nai</v>
      </c>
      <c r="F62" s="6" t="s">
        <v>587</v>
      </c>
      <c r="G62" s="6">
        <v>120</v>
      </c>
      <c r="H62" s="6">
        <v>2410101501</v>
      </c>
      <c r="I62" s="6" t="s">
        <v>1375</v>
      </c>
      <c r="J62" s="6">
        <v>24</v>
      </c>
      <c r="K62" s="6">
        <v>24</v>
      </c>
      <c r="L62" s="6" t="s">
        <v>2</v>
      </c>
      <c r="M62" s="6" t="s">
        <v>37</v>
      </c>
      <c r="N62" s="6" t="str">
        <f>VLOOKUP(Table1[[#This Row],[elevator_traction_machine]],'Product inf'!A:B,2,FALSE)</f>
        <v>SP006</v>
      </c>
      <c r="O62" s="6" t="s">
        <v>3</v>
      </c>
      <c r="P62" s="6" t="s">
        <v>9</v>
      </c>
      <c r="Q62" s="6" t="s">
        <v>67</v>
      </c>
      <c r="R62" s="6" t="s">
        <v>68</v>
      </c>
      <c r="S62" s="6">
        <v>348000000</v>
      </c>
      <c r="U62" s="6">
        <v>348000000</v>
      </c>
      <c r="Y62" s="6">
        <v>4480000</v>
      </c>
      <c r="Z62" s="8">
        <v>45440</v>
      </c>
      <c r="AA62" s="6" t="s">
        <v>1975</v>
      </c>
    </row>
    <row r="63" spans="1:27" x14ac:dyDescent="0.25">
      <c r="A63" s="8">
        <v>45748</v>
      </c>
      <c r="B63" s="6" t="s">
        <v>287</v>
      </c>
      <c r="C63" s="6" t="s">
        <v>1452</v>
      </c>
      <c r="D63" s="6" t="s">
        <v>36</v>
      </c>
      <c r="E63" s="6" t="str">
        <f>VLOOKUP(D63,'shipping inf'!B:D,2,FALSE)</f>
        <v>TP Hồ Chí Minh</v>
      </c>
      <c r="F63" s="6" t="s">
        <v>588</v>
      </c>
      <c r="G63" s="6">
        <v>120</v>
      </c>
      <c r="H63" s="6">
        <v>2510101501</v>
      </c>
      <c r="I63" s="6" t="s">
        <v>1375</v>
      </c>
      <c r="J63" s="6">
        <v>24</v>
      </c>
      <c r="K63" s="6">
        <v>12</v>
      </c>
      <c r="L63" s="6" t="s">
        <v>2</v>
      </c>
      <c r="M63" s="6" t="s">
        <v>37</v>
      </c>
      <c r="N63" s="6" t="str">
        <f>VLOOKUP(Table1[[#This Row],[elevator_traction_machine]],'Product inf'!A:B,2,FALSE)</f>
        <v>SP006</v>
      </c>
      <c r="O63" s="6" t="s">
        <v>3</v>
      </c>
      <c r="P63" s="6" t="s">
        <v>9</v>
      </c>
      <c r="Q63" s="6" t="s">
        <v>67</v>
      </c>
      <c r="R63" s="6" t="s">
        <v>68</v>
      </c>
      <c r="S63" s="6">
        <v>417000000</v>
      </c>
      <c r="U63" s="6">
        <v>417000000</v>
      </c>
      <c r="V63" s="6">
        <v>416800000</v>
      </c>
      <c r="X63" s="6">
        <v>15000000</v>
      </c>
      <c r="Y63" s="6">
        <v>5670000</v>
      </c>
      <c r="Z63" s="8">
        <v>45748</v>
      </c>
      <c r="AA63" s="6" t="s">
        <v>2206</v>
      </c>
    </row>
    <row r="64" spans="1:27" x14ac:dyDescent="0.25">
      <c r="A64" s="8">
        <v>45455</v>
      </c>
      <c r="B64" s="6" t="s">
        <v>127</v>
      </c>
      <c r="C64" s="6" t="s">
        <v>1453</v>
      </c>
      <c r="D64" s="6" t="s">
        <v>48</v>
      </c>
      <c r="E64" s="6" t="str">
        <f>VLOOKUP(D64,'shipping inf'!B:D,2,FALSE)</f>
        <v>Đồng Nai</v>
      </c>
      <c r="F64" s="6" t="s">
        <v>589</v>
      </c>
      <c r="G64" s="6">
        <v>90</v>
      </c>
      <c r="H64" s="6">
        <v>2410101601</v>
      </c>
      <c r="I64" s="6" t="s">
        <v>1375</v>
      </c>
      <c r="J64" s="6">
        <v>24</v>
      </c>
      <c r="K64" s="6">
        <v>12</v>
      </c>
      <c r="L64" s="6" t="s">
        <v>2</v>
      </c>
      <c r="M64" s="6" t="s">
        <v>37</v>
      </c>
      <c r="N64" s="6" t="str">
        <f>VLOOKUP(Table1[[#This Row],[elevator_traction_machine]],'Product inf'!A:B,2,FALSE)</f>
        <v>SP006</v>
      </c>
      <c r="O64" s="6" t="s">
        <v>3</v>
      </c>
      <c r="P64" s="6" t="s">
        <v>9</v>
      </c>
      <c r="Q64" s="6" t="s">
        <v>67</v>
      </c>
      <c r="R64" s="6" t="s">
        <v>68</v>
      </c>
      <c r="S64" s="6">
        <v>416000000</v>
      </c>
      <c r="U64" s="6">
        <v>416000000</v>
      </c>
      <c r="Y64" s="6">
        <v>5160000</v>
      </c>
      <c r="Z64" s="8">
        <v>45457</v>
      </c>
      <c r="AA64" s="6" t="s">
        <v>1996</v>
      </c>
    </row>
    <row r="65" spans="1:27" x14ac:dyDescent="0.25">
      <c r="A65" s="8">
        <v>45761</v>
      </c>
      <c r="B65" s="6" t="s">
        <v>289</v>
      </c>
      <c r="C65" s="6" t="s">
        <v>1454</v>
      </c>
      <c r="D65" s="6" t="s">
        <v>36</v>
      </c>
      <c r="E65" s="6" t="str">
        <f>VLOOKUP(D65,'shipping inf'!B:D,2,FALSE)</f>
        <v>TP Hồ Chí Minh</v>
      </c>
      <c r="F65" s="6" t="s">
        <v>590</v>
      </c>
      <c r="G65" s="6">
        <v>120</v>
      </c>
      <c r="H65" s="6">
        <v>2510101601</v>
      </c>
      <c r="I65" s="6" t="s">
        <v>1375</v>
      </c>
      <c r="J65" s="6">
        <v>24</v>
      </c>
      <c r="K65" s="6">
        <v>12</v>
      </c>
      <c r="L65" s="6" t="s">
        <v>2</v>
      </c>
      <c r="M65" s="6" t="s">
        <v>37</v>
      </c>
      <c r="N65" s="6" t="str">
        <f>VLOOKUP(Table1[[#This Row],[elevator_traction_machine]],'Product inf'!A:B,2,FALSE)</f>
        <v>SP006</v>
      </c>
      <c r="O65" s="6" t="s">
        <v>3</v>
      </c>
      <c r="P65" s="6" t="s">
        <v>9</v>
      </c>
      <c r="Q65" s="6" t="s">
        <v>67</v>
      </c>
      <c r="R65" s="6" t="s">
        <v>68</v>
      </c>
      <c r="S65" s="6">
        <v>360000000</v>
      </c>
      <c r="U65" s="6">
        <v>360000000</v>
      </c>
      <c r="V65" s="6">
        <v>362200000</v>
      </c>
      <c r="X65" s="6">
        <v>0</v>
      </c>
      <c r="Y65" s="6">
        <v>4800000</v>
      </c>
      <c r="Z65" s="8">
        <v>45761</v>
      </c>
      <c r="AA65" s="6" t="s">
        <v>2206</v>
      </c>
    </row>
    <row r="66" spans="1:27" x14ac:dyDescent="0.25">
      <c r="A66" s="8">
        <v>45468</v>
      </c>
      <c r="B66" s="6" t="s">
        <v>139</v>
      </c>
      <c r="C66" s="6" t="s">
        <v>1455</v>
      </c>
      <c r="D66" s="6" t="s">
        <v>46</v>
      </c>
      <c r="E66" s="6" t="str">
        <f>VLOOKUP(D66,'shipping inf'!B:D,2,FALSE)</f>
        <v>Tây Ninh</v>
      </c>
      <c r="F66" s="6" t="s">
        <v>591</v>
      </c>
      <c r="G66" s="6">
        <v>90</v>
      </c>
      <c r="H66" s="6">
        <v>2410101701</v>
      </c>
      <c r="I66" s="6" t="s">
        <v>1375</v>
      </c>
      <c r="J66" s="6">
        <v>24</v>
      </c>
      <c r="K66" s="6">
        <v>12</v>
      </c>
      <c r="L66" s="6" t="s">
        <v>2</v>
      </c>
      <c r="M66" s="6" t="s">
        <v>37</v>
      </c>
      <c r="N66" s="6" t="str">
        <f>VLOOKUP(Table1[[#This Row],[elevator_traction_machine]],'Product inf'!A:B,2,FALSE)</f>
        <v>SP007</v>
      </c>
      <c r="O66" s="6" t="s">
        <v>3</v>
      </c>
      <c r="P66" s="6" t="s">
        <v>4</v>
      </c>
      <c r="Q66" s="6" t="s">
        <v>140</v>
      </c>
      <c r="R66" s="6" t="s">
        <v>68</v>
      </c>
      <c r="S66" s="6">
        <v>2636000000</v>
      </c>
      <c r="T66" s="6">
        <v>210880000</v>
      </c>
      <c r="U66" s="6">
        <v>2846880000</v>
      </c>
      <c r="Y66" s="6">
        <v>27360000</v>
      </c>
      <c r="Z66" s="8">
        <v>45476</v>
      </c>
      <c r="AA66" s="6" t="s">
        <v>1996</v>
      </c>
    </row>
    <row r="67" spans="1:27" x14ac:dyDescent="0.25">
      <c r="A67" s="8">
        <v>45762</v>
      </c>
      <c r="B67" s="6" t="s">
        <v>293</v>
      </c>
      <c r="C67" s="6" t="s">
        <v>1456</v>
      </c>
      <c r="D67" s="6" t="s">
        <v>36</v>
      </c>
      <c r="E67" s="6" t="str">
        <f>VLOOKUP(D67,'shipping inf'!B:D,2,FALSE)</f>
        <v>TP Hồ Chí Minh</v>
      </c>
      <c r="F67" s="6" t="s">
        <v>592</v>
      </c>
      <c r="G67" s="6">
        <v>120</v>
      </c>
      <c r="H67" s="6">
        <v>2510101701</v>
      </c>
      <c r="I67" s="6" t="s">
        <v>1375</v>
      </c>
      <c r="J67" s="6">
        <v>24</v>
      </c>
      <c r="K67" s="6">
        <v>12</v>
      </c>
      <c r="L67" s="6" t="s">
        <v>2</v>
      </c>
      <c r="M67" s="6" t="s">
        <v>37</v>
      </c>
      <c r="N67" s="6" t="str">
        <f>VLOOKUP(Table1[[#This Row],[elevator_traction_machine]],'Product inf'!A:B,2,FALSE)</f>
        <v>SP006</v>
      </c>
      <c r="O67" s="6" t="s">
        <v>3</v>
      </c>
      <c r="P67" s="6" t="s">
        <v>9</v>
      </c>
      <c r="Q67" s="6" t="s">
        <v>67</v>
      </c>
      <c r="R67" s="6" t="s">
        <v>68</v>
      </c>
      <c r="S67" s="6">
        <v>335000000</v>
      </c>
      <c r="U67" s="6">
        <v>335000000</v>
      </c>
      <c r="V67" s="6">
        <v>330000000</v>
      </c>
      <c r="Y67" s="6">
        <v>4850000</v>
      </c>
      <c r="Z67" s="8">
        <v>45762</v>
      </c>
      <c r="AA67" s="6" t="s">
        <v>2206</v>
      </c>
    </row>
    <row r="68" spans="1:27" x14ac:dyDescent="0.25">
      <c r="A68" s="8">
        <v>45799</v>
      </c>
      <c r="B68" s="6" t="s">
        <v>311</v>
      </c>
      <c r="C68" s="6" t="s">
        <v>1457</v>
      </c>
      <c r="D68" s="6" t="s">
        <v>36</v>
      </c>
      <c r="E68" s="6" t="str">
        <f>VLOOKUP(D68,'shipping inf'!B:D,2,FALSE)</f>
        <v>TP Hồ Chí Minh</v>
      </c>
      <c r="F68" s="6" t="s">
        <v>593</v>
      </c>
      <c r="G68" s="6">
        <v>90</v>
      </c>
      <c r="H68" s="6">
        <v>2510101801</v>
      </c>
      <c r="I68" s="6" t="s">
        <v>1375</v>
      </c>
      <c r="J68" s="6">
        <v>24</v>
      </c>
      <c r="K68" s="6">
        <v>12</v>
      </c>
      <c r="L68" s="6" t="s">
        <v>2</v>
      </c>
      <c r="M68" s="6" t="s">
        <v>37</v>
      </c>
      <c r="N68" s="6" t="str">
        <f>VLOOKUP(Table1[[#This Row],[elevator_traction_machine]],'Product inf'!A:B,2,FALSE)</f>
        <v>SP006</v>
      </c>
      <c r="O68" s="6" t="s">
        <v>3</v>
      </c>
      <c r="P68" s="6" t="s">
        <v>9</v>
      </c>
      <c r="Q68" s="6" t="s">
        <v>67</v>
      </c>
      <c r="R68" s="6" t="s">
        <v>68</v>
      </c>
      <c r="S68" s="6">
        <v>370000000</v>
      </c>
      <c r="U68" s="6">
        <v>370000000</v>
      </c>
      <c r="V68" s="6">
        <v>386000000</v>
      </c>
      <c r="X68" s="6">
        <v>2000000</v>
      </c>
      <c r="Y68" s="6">
        <v>4900000</v>
      </c>
      <c r="Z68" s="8">
        <v>45799</v>
      </c>
      <c r="AA68" s="6" t="s">
        <v>2227</v>
      </c>
    </row>
    <row r="69" spans="1:27" x14ac:dyDescent="0.25">
      <c r="A69" s="8">
        <v>45492</v>
      </c>
      <c r="B69" s="6" t="s">
        <v>172</v>
      </c>
      <c r="C69" s="6" t="s">
        <v>1458</v>
      </c>
      <c r="D69" s="6" t="s">
        <v>42</v>
      </c>
      <c r="E69" s="6" t="str">
        <f>VLOOKUP(D69,'shipping inf'!B:D,2,FALSE)</f>
        <v>TP Hồ Chí Minh</v>
      </c>
      <c r="F69" s="6" t="s">
        <v>594</v>
      </c>
      <c r="G69" s="6">
        <v>90</v>
      </c>
      <c r="H69" s="6">
        <v>2410101901</v>
      </c>
      <c r="I69" s="6" t="s">
        <v>1375</v>
      </c>
      <c r="J69" s="6">
        <v>24</v>
      </c>
      <c r="K69" s="6">
        <v>12</v>
      </c>
      <c r="L69" s="6" t="s">
        <v>2</v>
      </c>
      <c r="M69" s="6" t="s">
        <v>37</v>
      </c>
      <c r="N69" s="6" t="str">
        <f>VLOOKUP(Table1[[#This Row],[elevator_traction_machine]],'Product inf'!A:B,2,FALSE)</f>
        <v>SP006</v>
      </c>
      <c r="O69" s="6" t="s">
        <v>3</v>
      </c>
      <c r="P69" s="6" t="s">
        <v>9</v>
      </c>
      <c r="Q69" s="6" t="s">
        <v>67</v>
      </c>
      <c r="R69" s="6" t="s">
        <v>68</v>
      </c>
      <c r="S69" s="6">
        <v>561180000</v>
      </c>
      <c r="T69" s="6">
        <v>44894400</v>
      </c>
      <c r="U69" s="6">
        <v>606074400</v>
      </c>
      <c r="V69" s="6">
        <v>422000000</v>
      </c>
      <c r="X69" s="6">
        <v>20000000</v>
      </c>
      <c r="Y69" s="6">
        <v>1561180</v>
      </c>
      <c r="Z69" s="8">
        <v>45520</v>
      </c>
      <c r="AA69" s="6" t="s">
        <v>2017</v>
      </c>
    </row>
    <row r="70" spans="1:27" x14ac:dyDescent="0.25">
      <c r="A70" s="8">
        <v>45771</v>
      </c>
      <c r="B70" s="6" t="s">
        <v>297</v>
      </c>
      <c r="C70" s="6" t="s">
        <v>1459</v>
      </c>
      <c r="D70" s="6" t="s">
        <v>62</v>
      </c>
      <c r="E70" s="6" t="str">
        <f>VLOOKUP(D70,'shipping inf'!B:D,2,FALSE)</f>
        <v>Vĩnh Long</v>
      </c>
      <c r="F70" s="6" t="s">
        <v>595</v>
      </c>
      <c r="G70" s="6">
        <v>40</v>
      </c>
      <c r="H70" s="6">
        <v>2510101901</v>
      </c>
      <c r="I70" s="6" t="s">
        <v>1375</v>
      </c>
      <c r="J70" s="6">
        <v>24</v>
      </c>
      <c r="K70" s="6">
        <v>12</v>
      </c>
      <c r="L70" s="6" t="s">
        <v>2</v>
      </c>
      <c r="M70" s="6" t="s">
        <v>37</v>
      </c>
      <c r="N70" s="6" t="str">
        <f>VLOOKUP(Table1[[#This Row],[elevator_traction_machine]],'Product inf'!A:B,2,FALSE)</f>
        <v>SP006</v>
      </c>
      <c r="O70" s="6" t="s">
        <v>3</v>
      </c>
      <c r="P70" s="6" t="s">
        <v>9</v>
      </c>
      <c r="Q70" s="6" t="s">
        <v>67</v>
      </c>
      <c r="R70" s="6" t="s">
        <v>68</v>
      </c>
      <c r="S70" s="6">
        <v>361000000</v>
      </c>
      <c r="U70" s="6">
        <v>361000000</v>
      </c>
      <c r="V70" s="6">
        <v>371000000</v>
      </c>
      <c r="Y70" s="6">
        <v>4810000</v>
      </c>
      <c r="Z70" s="8">
        <v>45771</v>
      </c>
      <c r="AA70" s="6" t="s">
        <v>2206</v>
      </c>
    </row>
    <row r="71" spans="1:27" x14ac:dyDescent="0.25">
      <c r="A71" s="8">
        <v>45495</v>
      </c>
      <c r="B71" s="6" t="s">
        <v>154</v>
      </c>
      <c r="C71" s="6" t="s">
        <v>1460</v>
      </c>
      <c r="D71" s="6" t="s">
        <v>36</v>
      </c>
      <c r="E71" s="6" t="str">
        <f>VLOOKUP(D71,'shipping inf'!B:D,2,FALSE)</f>
        <v>TP Hồ Chí Minh</v>
      </c>
      <c r="F71" s="6" t="s">
        <v>596</v>
      </c>
      <c r="G71" s="6">
        <v>90</v>
      </c>
      <c r="H71" s="6">
        <v>2410102001</v>
      </c>
      <c r="I71" s="6" t="s">
        <v>1375</v>
      </c>
      <c r="J71" s="6">
        <v>36</v>
      </c>
      <c r="K71" s="6">
        <v>24</v>
      </c>
      <c r="L71" s="6" t="s">
        <v>2</v>
      </c>
      <c r="M71" s="6" t="s">
        <v>37</v>
      </c>
      <c r="N71" s="6" t="str">
        <f>VLOOKUP(Table1[[#This Row],[elevator_traction_machine]],'Product inf'!A:B,2,FALSE)</f>
        <v>SP008</v>
      </c>
      <c r="O71" s="6" t="s">
        <v>8</v>
      </c>
      <c r="P71" s="6" t="s">
        <v>9</v>
      </c>
      <c r="Q71" s="6" t="s">
        <v>132</v>
      </c>
      <c r="R71" s="6" t="s">
        <v>68</v>
      </c>
      <c r="S71" s="6">
        <v>370000000</v>
      </c>
      <c r="U71" s="6">
        <v>370000000</v>
      </c>
      <c r="Y71" s="6">
        <v>4700000</v>
      </c>
      <c r="Z71" s="8">
        <v>45496</v>
      </c>
      <c r="AA71" s="6" t="s">
        <v>2017</v>
      </c>
    </row>
    <row r="72" spans="1:27" x14ac:dyDescent="0.25">
      <c r="A72" s="8">
        <v>45986</v>
      </c>
      <c r="B72" s="6" t="s">
        <v>450</v>
      </c>
      <c r="C72" s="6" t="s">
        <v>1461</v>
      </c>
      <c r="D72" s="6" t="s">
        <v>36</v>
      </c>
      <c r="E72" s="6" t="str">
        <f>VLOOKUP(D72,'shipping inf'!B:D,2,FALSE)</f>
        <v>TP Hồ Chí Minh</v>
      </c>
      <c r="F72" s="6" t="s">
        <v>597</v>
      </c>
      <c r="G72" s="6">
        <v>90</v>
      </c>
      <c r="H72" s="6">
        <v>2510102001</v>
      </c>
      <c r="I72" s="6" t="s">
        <v>1375</v>
      </c>
      <c r="J72" s="6">
        <v>24</v>
      </c>
      <c r="K72" s="6">
        <v>12</v>
      </c>
      <c r="L72" s="6" t="s">
        <v>2</v>
      </c>
      <c r="M72" s="6" t="s">
        <v>37</v>
      </c>
      <c r="N72" s="6" t="str">
        <f>VLOOKUP(Table1[[#This Row],[elevator_traction_machine]],'Product inf'!A:B,2,FALSE)</f>
        <v>SP006</v>
      </c>
      <c r="O72" s="6" t="s">
        <v>3</v>
      </c>
      <c r="P72" s="6" t="s">
        <v>9</v>
      </c>
      <c r="Q72" s="6" t="s">
        <v>67</v>
      </c>
      <c r="R72" s="6" t="s">
        <v>68</v>
      </c>
      <c r="S72" s="6">
        <v>425000000</v>
      </c>
      <c r="U72" s="6">
        <v>425000000</v>
      </c>
      <c r="V72" s="6">
        <v>447400000</v>
      </c>
      <c r="Y72" s="6">
        <v>5450000</v>
      </c>
      <c r="Z72" s="8">
        <v>45986</v>
      </c>
      <c r="AA72" s="6" t="s">
        <v>2353</v>
      </c>
    </row>
    <row r="73" spans="1:27" x14ac:dyDescent="0.25">
      <c r="A73" s="8">
        <v>45511</v>
      </c>
      <c r="B73" s="6" t="s">
        <v>169</v>
      </c>
      <c r="C73" s="6" t="s">
        <v>1462</v>
      </c>
      <c r="D73" s="6" t="s">
        <v>36</v>
      </c>
      <c r="E73" s="6" t="str">
        <f>VLOOKUP(D73,'shipping inf'!B:D,2,FALSE)</f>
        <v>TP Hồ Chí Minh</v>
      </c>
      <c r="F73" s="6" t="s">
        <v>598</v>
      </c>
      <c r="G73" s="6">
        <v>45</v>
      </c>
      <c r="H73" s="6">
        <v>2411200101</v>
      </c>
      <c r="I73" s="6" t="s">
        <v>1367</v>
      </c>
      <c r="J73" s="6">
        <v>24</v>
      </c>
      <c r="K73" s="6">
        <v>24</v>
      </c>
      <c r="L73" s="6" t="s">
        <v>15</v>
      </c>
      <c r="M73" s="6" t="s">
        <v>37</v>
      </c>
      <c r="N73" s="6" t="str">
        <f>VLOOKUP(Table1[[#This Row],[elevator_traction_machine]],'Product inf'!A:B,2,FALSE)</f>
        <v>SP015</v>
      </c>
      <c r="O73" s="6" t="s">
        <v>3</v>
      </c>
      <c r="P73" s="6" t="s">
        <v>9</v>
      </c>
      <c r="Q73" s="6" t="s">
        <v>70</v>
      </c>
      <c r="R73" s="6" t="s">
        <v>68</v>
      </c>
      <c r="S73" s="6">
        <v>423800000</v>
      </c>
      <c r="T73" s="6">
        <v>33904000</v>
      </c>
      <c r="U73" s="6">
        <v>457704000</v>
      </c>
      <c r="V73" s="6">
        <v>405800000</v>
      </c>
      <c r="X73" s="6">
        <v>25000000</v>
      </c>
      <c r="Y73" s="6">
        <v>6000000</v>
      </c>
      <c r="Z73" s="8">
        <v>45514</v>
      </c>
      <c r="AA73" s="6" t="s">
        <v>2030</v>
      </c>
    </row>
    <row r="74" spans="1:27" x14ac:dyDescent="0.25">
      <c r="A74" s="8">
        <v>45666</v>
      </c>
      <c r="B74" s="6" t="s">
        <v>246</v>
      </c>
      <c r="C74" s="6" t="s">
        <v>1463</v>
      </c>
      <c r="D74" s="6" t="s">
        <v>36</v>
      </c>
      <c r="E74" s="6" t="str">
        <f>VLOOKUP(D74,'shipping inf'!B:D,2,FALSE)</f>
        <v>TP Hồ Chí Minh</v>
      </c>
      <c r="F74" s="6" t="s">
        <v>599</v>
      </c>
      <c r="G74" s="6">
        <v>90</v>
      </c>
      <c r="H74" s="6">
        <v>2511200101</v>
      </c>
      <c r="I74" s="6" t="s">
        <v>1367</v>
      </c>
      <c r="J74" s="6">
        <v>24</v>
      </c>
      <c r="K74" s="6">
        <v>24</v>
      </c>
      <c r="L74" s="6" t="s">
        <v>19</v>
      </c>
      <c r="M74" s="6" t="s">
        <v>37</v>
      </c>
      <c r="N74" s="6" t="str">
        <f>VLOOKUP(Table1[[#This Row],[elevator_traction_machine]],'Product inf'!A:B,2,FALSE)</f>
        <v>SP015</v>
      </c>
      <c r="O74" s="6" t="s">
        <v>3</v>
      </c>
      <c r="P74" s="6" t="s">
        <v>9</v>
      </c>
      <c r="Q74" s="6" t="s">
        <v>70</v>
      </c>
      <c r="R74" s="6" t="s">
        <v>68</v>
      </c>
      <c r="S74" s="6">
        <v>431600000</v>
      </c>
      <c r="T74" s="6">
        <v>34528000</v>
      </c>
      <c r="U74" s="6">
        <v>466128000</v>
      </c>
      <c r="V74" s="6">
        <v>439600000</v>
      </c>
      <c r="X74" s="6">
        <v>30000000</v>
      </c>
      <c r="Y74" s="6">
        <v>6000000</v>
      </c>
      <c r="Z74" s="8">
        <v>45666</v>
      </c>
      <c r="AA74" s="6" t="s">
        <v>2135</v>
      </c>
    </row>
    <row r="75" spans="1:27" x14ac:dyDescent="0.25">
      <c r="A75" s="8">
        <v>46057</v>
      </c>
      <c r="B75" s="6" t="s">
        <v>481</v>
      </c>
      <c r="C75" s="6" t="s">
        <v>1464</v>
      </c>
      <c r="D75" s="6" t="s">
        <v>482</v>
      </c>
      <c r="E75" s="6" t="str">
        <f>VLOOKUP(D75,'shipping inf'!B:D,2,FALSE)</f>
        <v>Quảng Ninh</v>
      </c>
      <c r="F75" s="6" t="s">
        <v>600</v>
      </c>
      <c r="G75" s="6">
        <v>90</v>
      </c>
      <c r="H75" s="6">
        <v>2611200101</v>
      </c>
      <c r="I75" s="6" t="s">
        <v>1367</v>
      </c>
      <c r="J75" s="6">
        <v>24</v>
      </c>
      <c r="K75" s="6">
        <v>24</v>
      </c>
      <c r="L75" s="6" t="s">
        <v>19</v>
      </c>
      <c r="M75" s="6" t="s">
        <v>37</v>
      </c>
      <c r="N75" s="6" t="str">
        <f>VLOOKUP(Table1[[#This Row],[elevator_traction_machine]],'Product inf'!A:B,2,FALSE)</f>
        <v>SP006</v>
      </c>
      <c r="O75" s="6" t="s">
        <v>3</v>
      </c>
      <c r="P75" s="6" t="s">
        <v>9</v>
      </c>
      <c r="Q75" s="6" t="s">
        <v>67</v>
      </c>
      <c r="R75" s="6" t="s">
        <v>68</v>
      </c>
      <c r="S75" s="6">
        <v>391200000</v>
      </c>
      <c r="U75" s="6">
        <v>391200000</v>
      </c>
      <c r="V75" s="6">
        <v>391700000</v>
      </c>
      <c r="X75" s="6">
        <v>20000000</v>
      </c>
      <c r="Y75" s="6">
        <v>10000000</v>
      </c>
      <c r="Z75" s="8">
        <v>46057</v>
      </c>
      <c r="AA75" s="6" t="s">
        <v>2408</v>
      </c>
    </row>
    <row r="76" spans="1:27" x14ac:dyDescent="0.25">
      <c r="A76" s="8">
        <v>45500</v>
      </c>
      <c r="B76" s="6" t="s">
        <v>160</v>
      </c>
      <c r="C76" s="6" t="s">
        <v>1465</v>
      </c>
      <c r="D76" s="6" t="s">
        <v>36</v>
      </c>
      <c r="E76" s="6" t="str">
        <f>VLOOKUP(D76,'shipping inf'!B:D,2,FALSE)</f>
        <v>TP Hồ Chí Minh</v>
      </c>
      <c r="F76" s="6" t="s">
        <v>601</v>
      </c>
      <c r="G76" s="6">
        <v>90</v>
      </c>
      <c r="H76" s="6">
        <v>2411200201</v>
      </c>
      <c r="I76" s="6" t="s">
        <v>1367</v>
      </c>
      <c r="J76" s="6">
        <v>24</v>
      </c>
      <c r="K76" s="6">
        <v>24</v>
      </c>
      <c r="L76" s="6" t="s">
        <v>15</v>
      </c>
      <c r="M76" s="6" t="s">
        <v>37</v>
      </c>
      <c r="N76" s="6" t="str">
        <f>VLOOKUP(Table1[[#This Row],[elevator_traction_machine]],'Product inf'!A:B,2,FALSE)</f>
        <v>SP015</v>
      </c>
      <c r="O76" s="6" t="s">
        <v>8</v>
      </c>
      <c r="P76" s="6" t="s">
        <v>9</v>
      </c>
      <c r="Q76" s="6" t="s">
        <v>70</v>
      </c>
      <c r="R76" s="6" t="s">
        <v>68</v>
      </c>
      <c r="S76" s="6">
        <v>544900000</v>
      </c>
      <c r="U76" s="6">
        <v>544900000</v>
      </c>
      <c r="V76" s="6">
        <v>531400000</v>
      </c>
      <c r="X76" s="6">
        <v>25000000</v>
      </c>
      <c r="Y76" s="6">
        <v>8000000</v>
      </c>
      <c r="Z76" s="8">
        <v>45500</v>
      </c>
      <c r="AA76" s="6" t="s">
        <v>2009</v>
      </c>
    </row>
    <row r="77" spans="1:27" x14ac:dyDescent="0.25">
      <c r="A77" s="8">
        <v>45502</v>
      </c>
      <c r="B77" s="6" t="s">
        <v>161</v>
      </c>
      <c r="C77" s="6" t="s">
        <v>1466</v>
      </c>
      <c r="D77" s="6" t="s">
        <v>36</v>
      </c>
      <c r="E77" s="6" t="str">
        <f>VLOOKUP(D77,'shipping inf'!B:D,2,FALSE)</f>
        <v>TP Hồ Chí Minh</v>
      </c>
      <c r="F77" s="6" t="s">
        <v>602</v>
      </c>
      <c r="G77" s="6">
        <v>75</v>
      </c>
      <c r="H77" s="6">
        <v>2411200301</v>
      </c>
      <c r="I77" s="6" t="s">
        <v>1367</v>
      </c>
      <c r="J77" s="6">
        <v>24</v>
      </c>
      <c r="K77" s="6">
        <v>24</v>
      </c>
      <c r="L77" s="6" t="s">
        <v>19</v>
      </c>
      <c r="M77" s="6" t="s">
        <v>37</v>
      </c>
      <c r="N77" s="6" t="str">
        <f>VLOOKUP(Table1[[#This Row],[elevator_traction_machine]],'Product inf'!A:B,2,FALSE)</f>
        <v>SP015</v>
      </c>
      <c r="O77" s="6" t="s">
        <v>3</v>
      </c>
      <c r="P77" s="6" t="s">
        <v>9</v>
      </c>
      <c r="Q77" s="6" t="s">
        <v>70</v>
      </c>
      <c r="R77" s="6" t="s">
        <v>68</v>
      </c>
      <c r="S77" s="6">
        <v>404000000</v>
      </c>
      <c r="U77" s="6">
        <v>404000000</v>
      </c>
      <c r="X77" s="6">
        <v>30000000</v>
      </c>
      <c r="Y77" s="6">
        <v>6000000</v>
      </c>
      <c r="Z77" s="8">
        <v>45503</v>
      </c>
      <c r="AA77" s="6" t="s">
        <v>2009</v>
      </c>
    </row>
    <row r="78" spans="1:27" x14ac:dyDescent="0.25">
      <c r="A78" s="8">
        <v>45900</v>
      </c>
      <c r="B78" s="6" t="s">
        <v>387</v>
      </c>
      <c r="C78" s="6" t="s">
        <v>1467</v>
      </c>
      <c r="D78" s="6" t="s">
        <v>36</v>
      </c>
      <c r="E78" s="6" t="str">
        <f>VLOOKUP(D78,'shipping inf'!B:D,2,FALSE)</f>
        <v>TP Hồ Chí Minh</v>
      </c>
      <c r="F78" s="6" t="s">
        <v>603</v>
      </c>
      <c r="G78" s="6">
        <v>90</v>
      </c>
      <c r="H78" s="6">
        <v>2511200301</v>
      </c>
      <c r="I78" s="6" t="s">
        <v>1367</v>
      </c>
      <c r="J78" s="6">
        <v>24</v>
      </c>
      <c r="K78" s="6">
        <v>24</v>
      </c>
      <c r="L78" s="6" t="s">
        <v>17</v>
      </c>
      <c r="M78" s="6" t="s">
        <v>37</v>
      </c>
      <c r="N78" s="6" t="str">
        <f>VLOOKUP(Table1[[#This Row],[elevator_traction_machine]],'Product inf'!A:B,2,FALSE)</f>
        <v>SP006</v>
      </c>
      <c r="O78" s="6" t="s">
        <v>3</v>
      </c>
      <c r="P78" s="6" t="s">
        <v>9</v>
      </c>
      <c r="Q78" s="6" t="s">
        <v>67</v>
      </c>
      <c r="R78" s="6" t="s">
        <v>68</v>
      </c>
      <c r="S78" s="6">
        <v>363000000</v>
      </c>
      <c r="U78" s="6">
        <v>363000000</v>
      </c>
      <c r="V78" s="6">
        <v>379000000</v>
      </c>
      <c r="X78" s="6">
        <v>25000000</v>
      </c>
      <c r="Y78" s="6">
        <v>6000000</v>
      </c>
      <c r="Z78" s="8">
        <v>45912</v>
      </c>
      <c r="AA78" s="6" t="s">
        <v>2282</v>
      </c>
    </row>
    <row r="79" spans="1:27" x14ac:dyDescent="0.25">
      <c r="A79" s="8">
        <v>45491</v>
      </c>
      <c r="B79" s="6" t="s">
        <v>153</v>
      </c>
      <c r="C79" s="6" t="s">
        <v>1468</v>
      </c>
      <c r="D79" s="6" t="s">
        <v>36</v>
      </c>
      <c r="E79" s="6" t="str">
        <f>VLOOKUP(D79,'shipping inf'!B:D,2,FALSE)</f>
        <v>TP Hồ Chí Minh</v>
      </c>
      <c r="F79" s="6" t="s">
        <v>604</v>
      </c>
      <c r="G79" s="6">
        <v>120</v>
      </c>
      <c r="H79" s="6">
        <v>2411200401</v>
      </c>
      <c r="I79" s="6" t="s">
        <v>1367</v>
      </c>
      <c r="J79" s="6">
        <v>24</v>
      </c>
      <c r="K79" s="6">
        <v>24</v>
      </c>
      <c r="L79" s="6" t="s">
        <v>19</v>
      </c>
      <c r="M79" s="6" t="s">
        <v>37</v>
      </c>
      <c r="N79" s="6" t="str">
        <f>VLOOKUP(Table1[[#This Row],[elevator_traction_machine]],'Product inf'!A:B,2,FALSE)</f>
        <v>SP015</v>
      </c>
      <c r="O79" s="6" t="s">
        <v>3</v>
      </c>
      <c r="P79" s="6" t="s">
        <v>9</v>
      </c>
      <c r="Q79" s="6" t="s">
        <v>70</v>
      </c>
      <c r="R79" s="6" t="s">
        <v>68</v>
      </c>
      <c r="S79" s="6">
        <v>370000000</v>
      </c>
      <c r="U79" s="6">
        <v>370000000</v>
      </c>
      <c r="V79" s="6">
        <v>378000000</v>
      </c>
      <c r="X79" s="6">
        <v>25000000</v>
      </c>
      <c r="Y79" s="6">
        <v>6000000</v>
      </c>
      <c r="Z79" s="8">
        <v>45492</v>
      </c>
      <c r="AA79" s="6" t="s">
        <v>2009</v>
      </c>
    </row>
    <row r="80" spans="1:27" x14ac:dyDescent="0.25">
      <c r="A80" s="8">
        <v>45556</v>
      </c>
      <c r="B80" s="6" t="s">
        <v>189</v>
      </c>
      <c r="C80" s="6" t="s">
        <v>1469</v>
      </c>
      <c r="D80" s="6" t="s">
        <v>48</v>
      </c>
      <c r="E80" s="6" t="str">
        <f>VLOOKUP(D80,'shipping inf'!B:D,2,FALSE)</f>
        <v>Đồng Nai</v>
      </c>
      <c r="F80" s="6" t="s">
        <v>605</v>
      </c>
      <c r="G80" s="6">
        <v>90</v>
      </c>
      <c r="H80" s="6">
        <v>2411200501</v>
      </c>
      <c r="I80" s="6" t="s">
        <v>1367</v>
      </c>
      <c r="J80" s="6">
        <v>24</v>
      </c>
      <c r="K80" s="6">
        <v>24</v>
      </c>
      <c r="L80" s="6" t="s">
        <v>19</v>
      </c>
      <c r="M80" s="6" t="s">
        <v>37</v>
      </c>
      <c r="N80" s="6" t="str">
        <f>VLOOKUP(Table1[[#This Row],[elevator_traction_machine]],'Product inf'!A:B,2,FALSE)</f>
        <v>SP006</v>
      </c>
      <c r="O80" s="6" t="s">
        <v>8</v>
      </c>
      <c r="P80" s="6" t="s">
        <v>9</v>
      </c>
      <c r="Q80" s="6" t="s">
        <v>67</v>
      </c>
      <c r="R80" s="6" t="s">
        <v>68</v>
      </c>
      <c r="S80" s="6">
        <v>622000000</v>
      </c>
      <c r="U80" s="6">
        <v>622000000</v>
      </c>
      <c r="V80" s="6">
        <v>629023000</v>
      </c>
      <c r="X80" s="6">
        <v>20000000</v>
      </c>
      <c r="Y80" s="6">
        <v>8000000</v>
      </c>
      <c r="Z80" s="8">
        <v>45559</v>
      </c>
      <c r="AA80" s="6" t="s">
        <v>2051</v>
      </c>
    </row>
    <row r="81" spans="1:27" x14ac:dyDescent="0.25">
      <c r="A81" s="8">
        <v>45745</v>
      </c>
      <c r="B81" s="6" t="s">
        <v>286</v>
      </c>
      <c r="C81" s="6" t="s">
        <v>1470</v>
      </c>
      <c r="D81" s="6" t="s">
        <v>36</v>
      </c>
      <c r="E81" s="6" t="str">
        <f>VLOOKUP(D81,'shipping inf'!B:D,2,FALSE)</f>
        <v>TP Hồ Chí Minh</v>
      </c>
      <c r="F81" s="6" t="s">
        <v>606</v>
      </c>
      <c r="G81" s="6">
        <v>120</v>
      </c>
      <c r="H81" s="6">
        <v>2511200501</v>
      </c>
      <c r="I81" s="6" t="s">
        <v>1367</v>
      </c>
      <c r="J81" s="6">
        <v>24</v>
      </c>
      <c r="K81" s="6">
        <v>36</v>
      </c>
      <c r="L81" s="6" t="s">
        <v>19</v>
      </c>
      <c r="M81" s="6" t="s">
        <v>37</v>
      </c>
      <c r="N81" s="6" t="str">
        <f>VLOOKUP(Table1[[#This Row],[elevator_traction_machine]],'Product inf'!A:B,2,FALSE)</f>
        <v>SP015</v>
      </c>
      <c r="O81" s="6" t="s">
        <v>3</v>
      </c>
      <c r="P81" s="6" t="s">
        <v>9</v>
      </c>
      <c r="Q81" s="6" t="s">
        <v>70</v>
      </c>
      <c r="R81" s="6" t="s">
        <v>68</v>
      </c>
      <c r="S81" s="6">
        <v>385000000</v>
      </c>
      <c r="U81" s="6">
        <v>385000000</v>
      </c>
      <c r="V81" s="6">
        <v>396000000</v>
      </c>
      <c r="X81" s="6">
        <v>35000000</v>
      </c>
      <c r="Y81" s="6">
        <v>6000000</v>
      </c>
      <c r="Z81" s="8">
        <v>45747</v>
      </c>
      <c r="AA81" s="6" t="s">
        <v>2177</v>
      </c>
    </row>
    <row r="82" spans="1:27" x14ac:dyDescent="0.25">
      <c r="A82" s="8">
        <v>45548</v>
      </c>
      <c r="B82" s="6" t="s">
        <v>187</v>
      </c>
      <c r="C82" s="6" t="s">
        <v>1471</v>
      </c>
      <c r="D82" s="6" t="s">
        <v>36</v>
      </c>
      <c r="E82" s="6" t="str">
        <f>VLOOKUP(D82,'shipping inf'!B:D,2,FALSE)</f>
        <v>TP Hồ Chí Minh</v>
      </c>
      <c r="F82" s="6" t="s">
        <v>607</v>
      </c>
      <c r="G82" s="6">
        <v>120</v>
      </c>
      <c r="H82" s="6">
        <v>2411200601</v>
      </c>
      <c r="I82" s="6" t="s">
        <v>1367</v>
      </c>
      <c r="J82" s="6">
        <v>24</v>
      </c>
      <c r="K82" s="6">
        <v>24</v>
      </c>
      <c r="L82" s="6" t="s">
        <v>17</v>
      </c>
      <c r="M82" s="6" t="s">
        <v>37</v>
      </c>
      <c r="N82" s="6" t="str">
        <f>VLOOKUP(Table1[[#This Row],[elevator_traction_machine]],'Product inf'!A:B,2,FALSE)</f>
        <v>SP015</v>
      </c>
      <c r="O82" s="6" t="s">
        <v>8</v>
      </c>
      <c r="P82" s="6" t="s">
        <v>9</v>
      </c>
      <c r="Q82" s="6" t="s">
        <v>70</v>
      </c>
      <c r="R82" s="6" t="s">
        <v>68</v>
      </c>
      <c r="S82" s="6">
        <v>550000000</v>
      </c>
      <c r="U82" s="6">
        <v>550000000</v>
      </c>
      <c r="V82" s="6">
        <v>549650000</v>
      </c>
      <c r="X82" s="6">
        <v>23000000</v>
      </c>
      <c r="Y82" s="6">
        <v>6000000</v>
      </c>
      <c r="Z82" s="8">
        <v>45552</v>
      </c>
      <c r="AA82" s="6" t="s">
        <v>2051</v>
      </c>
    </row>
    <row r="83" spans="1:27" x14ac:dyDescent="0.25">
      <c r="A83" s="8">
        <v>45768</v>
      </c>
      <c r="B83" s="6" t="s">
        <v>294</v>
      </c>
      <c r="C83" s="6" t="s">
        <v>1472</v>
      </c>
      <c r="D83" s="6" t="s">
        <v>36</v>
      </c>
      <c r="E83" s="6" t="str">
        <f>VLOOKUP(D83,'shipping inf'!B:D,2,FALSE)</f>
        <v>TP Hồ Chí Minh</v>
      </c>
      <c r="F83" s="6" t="s">
        <v>608</v>
      </c>
      <c r="G83" s="6">
        <v>120</v>
      </c>
      <c r="H83" s="6">
        <v>2511200601</v>
      </c>
      <c r="I83" s="6" t="s">
        <v>1367</v>
      </c>
      <c r="J83" s="6">
        <v>24</v>
      </c>
      <c r="K83" s="6">
        <v>24</v>
      </c>
      <c r="L83" s="6" t="s">
        <v>19</v>
      </c>
      <c r="M83" s="6" t="s">
        <v>37</v>
      </c>
      <c r="N83" s="6" t="str">
        <f>VLOOKUP(Table1[[#This Row],[elevator_traction_machine]],'Product inf'!A:B,2,FALSE)</f>
        <v>SP015</v>
      </c>
      <c r="O83" s="6" t="s">
        <v>3</v>
      </c>
      <c r="P83" s="6" t="s">
        <v>9</v>
      </c>
      <c r="Q83" s="6" t="s">
        <v>70</v>
      </c>
      <c r="R83" s="6" t="s">
        <v>68</v>
      </c>
      <c r="S83" s="6">
        <v>570000000</v>
      </c>
      <c r="T83" s="6">
        <v>45600000</v>
      </c>
      <c r="U83" s="6">
        <v>615600000</v>
      </c>
      <c r="V83" s="6">
        <v>569600000</v>
      </c>
      <c r="X83" s="6">
        <v>30000000</v>
      </c>
      <c r="Y83" s="6">
        <v>10000000</v>
      </c>
      <c r="Z83" s="8">
        <v>45768</v>
      </c>
      <c r="AA83" s="6" t="s">
        <v>2198</v>
      </c>
    </row>
    <row r="84" spans="1:27" x14ac:dyDescent="0.25">
      <c r="A84" s="8">
        <v>45575</v>
      </c>
      <c r="B84" s="6" t="s">
        <v>203</v>
      </c>
      <c r="C84" s="6" t="s">
        <v>1473</v>
      </c>
      <c r="D84" s="6" t="s">
        <v>36</v>
      </c>
      <c r="E84" s="6" t="str">
        <f>VLOOKUP(D84,'shipping inf'!B:D,2,FALSE)</f>
        <v>TP Hồ Chí Minh</v>
      </c>
      <c r="F84" s="6" t="s">
        <v>609</v>
      </c>
      <c r="G84" s="6">
        <v>120</v>
      </c>
      <c r="H84" s="6">
        <v>2411200701</v>
      </c>
      <c r="I84" s="6" t="s">
        <v>1367</v>
      </c>
      <c r="J84" s="6">
        <v>24</v>
      </c>
      <c r="K84" s="6">
        <v>24</v>
      </c>
      <c r="L84" s="6" t="s">
        <v>19</v>
      </c>
      <c r="M84" s="6" t="s">
        <v>37</v>
      </c>
      <c r="N84" s="6" t="str">
        <f>VLOOKUP(Table1[[#This Row],[elevator_traction_machine]],'Product inf'!A:B,2,FALSE)</f>
        <v>SP006</v>
      </c>
      <c r="O84" s="6" t="s">
        <v>8</v>
      </c>
      <c r="P84" s="6" t="s">
        <v>9</v>
      </c>
      <c r="Q84" s="6" t="s">
        <v>67</v>
      </c>
      <c r="R84" s="6" t="s">
        <v>68</v>
      </c>
      <c r="S84" s="6">
        <v>390000000</v>
      </c>
      <c r="U84" s="6">
        <v>390000000</v>
      </c>
      <c r="V84" s="6">
        <v>379340000</v>
      </c>
      <c r="X84" s="6">
        <v>20000000</v>
      </c>
      <c r="Y84" s="6">
        <v>6000000</v>
      </c>
      <c r="Z84" s="8">
        <v>45577</v>
      </c>
      <c r="AA84" s="6" t="s">
        <v>2072</v>
      </c>
    </row>
    <row r="85" spans="1:27" x14ac:dyDescent="0.25">
      <c r="A85" s="8">
        <v>45783</v>
      </c>
      <c r="B85" s="6" t="s">
        <v>302</v>
      </c>
      <c r="C85" s="6" t="s">
        <v>1474</v>
      </c>
      <c r="D85" s="6" t="s">
        <v>47</v>
      </c>
      <c r="E85" s="6" t="str">
        <f>VLOOKUP(D85,'shipping inf'!B:D,2,FALSE)</f>
        <v>Tây Ninh</v>
      </c>
      <c r="F85" s="6" t="s">
        <v>610</v>
      </c>
      <c r="G85" s="6">
        <v>120</v>
      </c>
      <c r="H85" s="6">
        <v>2511200701</v>
      </c>
      <c r="I85" s="6" t="s">
        <v>1367</v>
      </c>
      <c r="J85" s="6">
        <v>24</v>
      </c>
      <c r="K85" s="6">
        <v>24</v>
      </c>
      <c r="L85" s="6" t="s">
        <v>19</v>
      </c>
      <c r="M85" s="6" t="s">
        <v>37</v>
      </c>
      <c r="N85" s="6" t="str">
        <f>VLOOKUP(Table1[[#This Row],[elevator_traction_machine]],'Product inf'!A:B,2,FALSE)</f>
        <v>SP006</v>
      </c>
      <c r="O85" s="6" t="s">
        <v>3</v>
      </c>
      <c r="P85" s="6" t="s">
        <v>9</v>
      </c>
      <c r="Q85" s="6" t="s">
        <v>67</v>
      </c>
      <c r="R85" s="6" t="s">
        <v>68</v>
      </c>
      <c r="S85" s="6">
        <v>380000000</v>
      </c>
      <c r="U85" s="6">
        <v>380000000</v>
      </c>
      <c r="V85" s="6">
        <v>380500000</v>
      </c>
      <c r="X85" s="6">
        <v>40000000</v>
      </c>
      <c r="Y85" s="6">
        <v>10000000</v>
      </c>
      <c r="Z85" s="8">
        <v>45783</v>
      </c>
      <c r="AA85" s="6" t="s">
        <v>2219</v>
      </c>
    </row>
    <row r="86" spans="1:27" x14ac:dyDescent="0.25">
      <c r="A86" s="8">
        <v>45791</v>
      </c>
      <c r="B86" s="6" t="s">
        <v>312</v>
      </c>
      <c r="C86" s="6" t="s">
        <v>1475</v>
      </c>
      <c r="D86" s="6" t="s">
        <v>36</v>
      </c>
      <c r="E86" s="6" t="str">
        <f>VLOOKUP(D86,'shipping inf'!B:D,2,FALSE)</f>
        <v>TP Hồ Chí Minh</v>
      </c>
      <c r="F86" s="6" t="s">
        <v>611</v>
      </c>
      <c r="G86" s="6">
        <v>90</v>
      </c>
      <c r="H86" s="6">
        <v>2511200801</v>
      </c>
      <c r="I86" s="6" t="s">
        <v>1367</v>
      </c>
      <c r="J86" s="6">
        <v>24</v>
      </c>
      <c r="K86" s="6">
        <v>24</v>
      </c>
      <c r="L86" s="6" t="s">
        <v>12</v>
      </c>
      <c r="M86" s="6" t="s">
        <v>37</v>
      </c>
      <c r="N86" s="6" t="str">
        <f>VLOOKUP(Table1[[#This Row],[elevator_traction_machine]],'Product inf'!A:B,2,FALSE)</f>
        <v>SP006</v>
      </c>
      <c r="O86" s="6" t="s">
        <v>8</v>
      </c>
      <c r="P86" s="6" t="s">
        <v>9</v>
      </c>
      <c r="Q86" s="6" t="s">
        <v>67</v>
      </c>
      <c r="R86" s="6" t="s">
        <v>68</v>
      </c>
      <c r="S86" s="6">
        <v>1096000000</v>
      </c>
      <c r="T86" s="6">
        <v>87680000</v>
      </c>
      <c r="U86" s="6">
        <v>1183680000</v>
      </c>
      <c r="V86" s="6">
        <v>1093500000</v>
      </c>
      <c r="X86" s="6">
        <v>30000000</v>
      </c>
      <c r="Y86" s="6">
        <v>14000000</v>
      </c>
      <c r="Z86" s="8">
        <v>45800</v>
      </c>
      <c r="AA86" s="6" t="s">
        <v>2219</v>
      </c>
    </row>
    <row r="87" spans="1:27" x14ac:dyDescent="0.25">
      <c r="A87" s="8">
        <v>45828</v>
      </c>
      <c r="B87" s="6" t="s">
        <v>328</v>
      </c>
      <c r="C87" s="6" t="s">
        <v>1476</v>
      </c>
      <c r="D87" s="6" t="s">
        <v>36</v>
      </c>
      <c r="E87" s="6" t="str">
        <f>VLOOKUP(D87,'shipping inf'!B:D,2,FALSE)</f>
        <v>TP Hồ Chí Minh</v>
      </c>
      <c r="F87" s="6" t="s">
        <v>612</v>
      </c>
      <c r="G87" s="6">
        <v>150</v>
      </c>
      <c r="H87" s="6">
        <v>2511200901</v>
      </c>
      <c r="I87" s="6" t="s">
        <v>1367</v>
      </c>
      <c r="J87" s="6">
        <v>24</v>
      </c>
      <c r="K87" s="6">
        <v>24</v>
      </c>
      <c r="L87" s="6" t="s">
        <v>19</v>
      </c>
      <c r="M87" s="6" t="s">
        <v>37</v>
      </c>
      <c r="N87" s="6" t="str">
        <f>VLOOKUP(Table1[[#This Row],[elevator_traction_machine]],'Product inf'!A:B,2,FALSE)</f>
        <v>SP015</v>
      </c>
      <c r="O87" s="6" t="s">
        <v>3</v>
      </c>
      <c r="P87" s="6" t="s">
        <v>9</v>
      </c>
      <c r="Q87" s="6" t="s">
        <v>70</v>
      </c>
      <c r="R87" s="6" t="s">
        <v>68</v>
      </c>
      <c r="S87" s="6">
        <v>425000000</v>
      </c>
      <c r="U87" s="6">
        <v>425000000</v>
      </c>
      <c r="V87" s="6">
        <v>448320000</v>
      </c>
      <c r="W87" s="6">
        <v>25000000</v>
      </c>
      <c r="X87" s="6">
        <v>20000000</v>
      </c>
      <c r="Y87" s="6">
        <v>10000000</v>
      </c>
      <c r="Z87" s="8">
        <v>45828</v>
      </c>
      <c r="AA87" s="6" t="s">
        <v>2240</v>
      </c>
    </row>
    <row r="88" spans="1:27" x14ac:dyDescent="0.25">
      <c r="A88" s="8">
        <v>45491</v>
      </c>
      <c r="B88" s="6" t="s">
        <v>150</v>
      </c>
      <c r="C88" s="6" t="s">
        <v>1477</v>
      </c>
      <c r="D88" s="6" t="s">
        <v>36</v>
      </c>
      <c r="E88" s="6" t="str">
        <f>VLOOKUP(D88,'shipping inf'!B:D,2,FALSE)</f>
        <v>TP Hồ Chí Minh</v>
      </c>
      <c r="F88" s="6" t="s">
        <v>548</v>
      </c>
      <c r="G88" s="6">
        <v>40</v>
      </c>
      <c r="H88" s="6">
        <v>2410102101</v>
      </c>
      <c r="I88" s="6" t="s">
        <v>1375</v>
      </c>
      <c r="J88" s="6">
        <v>24</v>
      </c>
      <c r="K88" s="6">
        <v>12</v>
      </c>
      <c r="L88" s="6" t="s">
        <v>2</v>
      </c>
      <c r="M88" s="6" t="s">
        <v>37</v>
      </c>
      <c r="N88" s="6" t="str">
        <f>VLOOKUP(Table1[[#This Row],[elevator_traction_machine]],'Product inf'!A:B,2,FALSE)</f>
        <v>SP009</v>
      </c>
      <c r="O88" s="6" t="s">
        <v>3</v>
      </c>
      <c r="P88" s="6" t="s">
        <v>9</v>
      </c>
      <c r="Q88" s="6" t="s">
        <v>82</v>
      </c>
      <c r="R88" s="6" t="s">
        <v>68</v>
      </c>
      <c r="S88" s="6">
        <v>390000000</v>
      </c>
      <c r="U88" s="6">
        <v>390000000</v>
      </c>
      <c r="Y88" s="6">
        <v>4900000</v>
      </c>
      <c r="Z88" s="8">
        <v>45492</v>
      </c>
      <c r="AA88" s="6" t="s">
        <v>2017</v>
      </c>
    </row>
    <row r="89" spans="1:27" x14ac:dyDescent="0.25">
      <c r="A89" s="8">
        <v>45784</v>
      </c>
      <c r="B89" s="6" t="s">
        <v>304</v>
      </c>
      <c r="C89" s="6" t="s">
        <v>1478</v>
      </c>
      <c r="D89" s="6" t="s">
        <v>305</v>
      </c>
      <c r="E89" s="6" t="str">
        <f>VLOOKUP(D89,'shipping inf'!B:D,2,FALSE)</f>
        <v>Huế</v>
      </c>
      <c r="F89" s="6" t="s">
        <v>613</v>
      </c>
      <c r="G89" s="6">
        <v>90</v>
      </c>
      <c r="H89" s="6">
        <v>2510102101</v>
      </c>
      <c r="I89" s="6" t="s">
        <v>1375</v>
      </c>
      <c r="J89" s="6">
        <v>12</v>
      </c>
      <c r="K89" s="6">
        <v>12</v>
      </c>
      <c r="L89" s="6" t="s">
        <v>2</v>
      </c>
      <c r="M89" s="6" t="s">
        <v>37</v>
      </c>
      <c r="N89" s="6" t="str">
        <f>VLOOKUP(Table1[[#This Row],[elevator_traction_machine]],'Product inf'!A:B,2,FALSE)</f>
        <v>SP006</v>
      </c>
      <c r="O89" s="6" t="s">
        <v>3</v>
      </c>
      <c r="P89" s="6" t="s">
        <v>4</v>
      </c>
      <c r="Q89" s="6" t="s">
        <v>67</v>
      </c>
      <c r="R89" s="6" t="s">
        <v>68</v>
      </c>
      <c r="S89" s="6">
        <v>1976000000</v>
      </c>
      <c r="T89" s="6">
        <v>158080000</v>
      </c>
      <c r="U89" s="6">
        <v>2134080000</v>
      </c>
      <c r="V89" s="6">
        <v>1976000000</v>
      </c>
      <c r="Y89" s="6">
        <v>40000000</v>
      </c>
      <c r="Z89" s="8">
        <v>45784</v>
      </c>
      <c r="AA89" s="6" t="s">
        <v>2227</v>
      </c>
    </row>
    <row r="90" spans="1:27" x14ac:dyDescent="0.25">
      <c r="A90" s="8">
        <v>45784</v>
      </c>
      <c r="B90" s="6" t="s">
        <v>304</v>
      </c>
      <c r="C90" s="6" t="s">
        <v>1479</v>
      </c>
      <c r="D90" s="6" t="s">
        <v>305</v>
      </c>
      <c r="E90" s="6" t="str">
        <f>VLOOKUP(D90,'shipping inf'!B:D,2,FALSE)</f>
        <v>Huế</v>
      </c>
      <c r="F90" s="6" t="s">
        <v>613</v>
      </c>
      <c r="G90" s="6">
        <v>90</v>
      </c>
      <c r="H90" s="6">
        <v>2510102102</v>
      </c>
      <c r="I90" s="6" t="s">
        <v>1375</v>
      </c>
      <c r="J90" s="6">
        <v>12</v>
      </c>
      <c r="K90" s="6">
        <v>12</v>
      </c>
      <c r="L90" s="6" t="s">
        <v>2</v>
      </c>
      <c r="M90" s="6" t="s">
        <v>37</v>
      </c>
      <c r="N90" s="6" t="str">
        <f>VLOOKUP(Table1[[#This Row],[elevator_traction_machine]],'Product inf'!A:B,2,FALSE)</f>
        <v>SP006</v>
      </c>
      <c r="O90" s="6" t="s">
        <v>3</v>
      </c>
      <c r="P90" s="6" t="s">
        <v>4</v>
      </c>
      <c r="Q90" s="6" t="s">
        <v>67</v>
      </c>
      <c r="R90" s="6" t="s">
        <v>68</v>
      </c>
      <c r="U90" s="6">
        <v>0</v>
      </c>
      <c r="Z90" s="8">
        <v>45784</v>
      </c>
      <c r="AA90" s="6" t="s">
        <v>2227</v>
      </c>
    </row>
    <row r="91" spans="1:27" x14ac:dyDescent="0.25">
      <c r="A91" s="8">
        <v>45784</v>
      </c>
      <c r="B91" s="6" t="s">
        <v>304</v>
      </c>
      <c r="C91" s="6" t="s">
        <v>1480</v>
      </c>
      <c r="D91" s="6" t="s">
        <v>305</v>
      </c>
      <c r="E91" s="6" t="str">
        <f>VLOOKUP(D91,'shipping inf'!B:D,2,FALSE)</f>
        <v>Huế</v>
      </c>
      <c r="F91" s="6" t="s">
        <v>613</v>
      </c>
      <c r="G91" s="6">
        <v>90</v>
      </c>
      <c r="H91" s="6">
        <v>2510102103</v>
      </c>
      <c r="I91" s="6" t="s">
        <v>1375</v>
      </c>
      <c r="J91" s="6">
        <v>12</v>
      </c>
      <c r="K91" s="6">
        <v>12</v>
      </c>
      <c r="L91" s="6" t="s">
        <v>2</v>
      </c>
      <c r="M91" s="6" t="s">
        <v>37</v>
      </c>
      <c r="N91" s="6" t="str">
        <f>VLOOKUP(Table1[[#This Row],[elevator_traction_machine]],'Product inf'!A:B,2,FALSE)</f>
        <v>SP006</v>
      </c>
      <c r="O91" s="6" t="s">
        <v>3</v>
      </c>
      <c r="P91" s="6" t="s">
        <v>13</v>
      </c>
      <c r="Q91" s="6" t="s">
        <v>67</v>
      </c>
      <c r="R91" s="6" t="s">
        <v>68</v>
      </c>
      <c r="U91" s="6">
        <v>0</v>
      </c>
      <c r="Z91" s="8">
        <v>45784</v>
      </c>
      <c r="AA91" s="6" t="s">
        <v>2227</v>
      </c>
    </row>
    <row r="92" spans="1:27" x14ac:dyDescent="0.25">
      <c r="A92" s="8">
        <v>45869</v>
      </c>
      <c r="B92" s="6" t="s">
        <v>365</v>
      </c>
      <c r="C92" s="6" t="s">
        <v>1481</v>
      </c>
      <c r="D92" s="6" t="s">
        <v>36</v>
      </c>
      <c r="E92" s="6" t="str">
        <f>VLOOKUP(D92,'shipping inf'!B:D,2,FALSE)</f>
        <v>TP Hồ Chí Minh</v>
      </c>
      <c r="F92" s="6" t="s">
        <v>608</v>
      </c>
      <c r="G92" s="6">
        <v>150</v>
      </c>
      <c r="H92" s="6">
        <v>2511201001</v>
      </c>
      <c r="I92" s="6" t="s">
        <v>1367</v>
      </c>
      <c r="J92" s="6">
        <v>24</v>
      </c>
      <c r="K92" s="6">
        <v>24</v>
      </c>
      <c r="L92" s="6" t="s">
        <v>19</v>
      </c>
      <c r="M92" s="6" t="s">
        <v>37</v>
      </c>
      <c r="N92" s="6" t="str">
        <f>VLOOKUP(Table1[[#This Row],[elevator_traction_machine]],'Product inf'!A:B,2,FALSE)</f>
        <v>SP015</v>
      </c>
      <c r="O92" s="6" t="s">
        <v>8</v>
      </c>
      <c r="P92" s="6" t="s">
        <v>9</v>
      </c>
      <c r="Q92" s="6" t="s">
        <v>70</v>
      </c>
      <c r="R92" s="6" t="s">
        <v>267</v>
      </c>
      <c r="S92" s="6">
        <v>657000000</v>
      </c>
      <c r="T92" s="6">
        <v>52560000</v>
      </c>
      <c r="U92" s="6">
        <v>709560000</v>
      </c>
      <c r="V92" s="6">
        <v>661595060</v>
      </c>
      <c r="X92" s="6">
        <v>10000000</v>
      </c>
      <c r="Y92" s="6">
        <v>12000000</v>
      </c>
      <c r="Z92" s="8">
        <v>45876</v>
      </c>
      <c r="AA92" s="6" t="s">
        <v>2261</v>
      </c>
    </row>
    <row r="93" spans="1:27" x14ac:dyDescent="0.25">
      <c r="A93" s="8">
        <v>45938</v>
      </c>
      <c r="B93" s="6" t="s">
        <v>408</v>
      </c>
      <c r="C93" s="6" t="s">
        <v>1482</v>
      </c>
      <c r="D93" s="6" t="s">
        <v>36</v>
      </c>
      <c r="E93" s="6" t="str">
        <f>VLOOKUP(D93,'shipping inf'!B:D,2,FALSE)</f>
        <v>TP Hồ Chí Minh</v>
      </c>
      <c r="F93" s="6" t="s">
        <v>614</v>
      </c>
      <c r="G93" s="6">
        <v>120</v>
      </c>
      <c r="H93" s="6">
        <v>2511201101</v>
      </c>
      <c r="I93" s="6" t="s">
        <v>1367</v>
      </c>
      <c r="J93" s="6">
        <v>24</v>
      </c>
      <c r="K93" s="6">
        <v>24</v>
      </c>
      <c r="L93" s="6" t="s">
        <v>19</v>
      </c>
      <c r="M93" s="6" t="s">
        <v>37</v>
      </c>
      <c r="N93" s="6" t="str">
        <f>VLOOKUP(Table1[[#This Row],[elevator_traction_machine]],'Product inf'!A:B,2,FALSE)</f>
        <v>SP006</v>
      </c>
      <c r="O93" s="6" t="s">
        <v>3</v>
      </c>
      <c r="P93" s="6" t="s">
        <v>9</v>
      </c>
      <c r="Q93" s="6" t="s">
        <v>67</v>
      </c>
      <c r="R93" s="6" t="s">
        <v>68</v>
      </c>
      <c r="S93" s="6">
        <v>367000000</v>
      </c>
      <c r="U93" s="6">
        <v>367000000</v>
      </c>
      <c r="V93" s="6">
        <v>374000000</v>
      </c>
      <c r="X93" s="6">
        <v>10000000</v>
      </c>
      <c r="Y93" s="6">
        <v>6000000</v>
      </c>
      <c r="Z93" s="8">
        <v>45939</v>
      </c>
      <c r="AA93" s="6" t="s">
        <v>2324</v>
      </c>
    </row>
    <row r="94" spans="1:27" x14ac:dyDescent="0.25">
      <c r="A94" s="8">
        <v>45965</v>
      </c>
      <c r="B94" s="6" t="s">
        <v>436</v>
      </c>
      <c r="C94" s="6" t="s">
        <v>1483</v>
      </c>
      <c r="D94" s="6" t="s">
        <v>36</v>
      </c>
      <c r="E94" s="6" t="str">
        <f>VLOOKUP(D94,'shipping inf'!B:D,2,FALSE)</f>
        <v>TP Hồ Chí Minh</v>
      </c>
      <c r="F94" s="6" t="s">
        <v>615</v>
      </c>
      <c r="G94" s="6">
        <v>150</v>
      </c>
      <c r="H94" s="6">
        <v>2511201201</v>
      </c>
      <c r="I94" s="6" t="s">
        <v>1367</v>
      </c>
      <c r="J94" s="6">
        <v>24</v>
      </c>
      <c r="K94" s="6">
        <v>24</v>
      </c>
      <c r="L94" s="6" t="s">
        <v>19</v>
      </c>
      <c r="M94" s="6" t="s">
        <v>37</v>
      </c>
      <c r="N94" s="6" t="str">
        <f>VLOOKUP(Table1[[#This Row],[elevator_traction_machine]],'Product inf'!A:B,2,FALSE)</f>
        <v>SP006</v>
      </c>
      <c r="O94" s="6" t="s">
        <v>3</v>
      </c>
      <c r="P94" s="6" t="s">
        <v>9</v>
      </c>
      <c r="Q94" s="6" t="s">
        <v>67</v>
      </c>
      <c r="R94" s="6" t="s">
        <v>68</v>
      </c>
      <c r="S94" s="6">
        <v>354500000</v>
      </c>
      <c r="U94" s="6">
        <v>354500000</v>
      </c>
      <c r="V94" s="6">
        <v>370000000</v>
      </c>
      <c r="X94" s="6">
        <v>5000000</v>
      </c>
      <c r="Y94" s="6">
        <v>10000000</v>
      </c>
      <c r="Z94" s="8">
        <v>45966</v>
      </c>
      <c r="AA94" s="6" t="s">
        <v>2345</v>
      </c>
    </row>
    <row r="95" spans="1:27" x14ac:dyDescent="0.25">
      <c r="A95" s="8">
        <v>45930</v>
      </c>
      <c r="B95" s="6" t="s">
        <v>410</v>
      </c>
      <c r="C95" s="6" t="s">
        <v>1484</v>
      </c>
      <c r="D95" s="6" t="s">
        <v>36</v>
      </c>
      <c r="E95" s="6" t="str">
        <f>VLOOKUP(D95,'shipping inf'!B:D,2,FALSE)</f>
        <v>TP Hồ Chí Minh</v>
      </c>
      <c r="F95" s="6" t="s">
        <v>616</v>
      </c>
      <c r="G95" s="6">
        <v>90</v>
      </c>
      <c r="H95" s="6">
        <v>2511201401</v>
      </c>
      <c r="I95" s="6" t="s">
        <v>1367</v>
      </c>
      <c r="J95" s="6">
        <v>24</v>
      </c>
      <c r="K95" s="6">
        <v>24</v>
      </c>
      <c r="L95" s="6" t="s">
        <v>19</v>
      </c>
      <c r="M95" s="6" t="s">
        <v>37</v>
      </c>
      <c r="N95" s="6" t="str">
        <f>VLOOKUP(Table1[[#This Row],[elevator_traction_machine]],'Product inf'!A:B,2,FALSE)</f>
        <v>SP006</v>
      </c>
      <c r="O95" s="6" t="s">
        <v>3</v>
      </c>
      <c r="P95" s="6" t="s">
        <v>9</v>
      </c>
      <c r="Q95" s="6" t="s">
        <v>67</v>
      </c>
      <c r="R95" s="6" t="s">
        <v>68</v>
      </c>
      <c r="S95" s="6">
        <v>508000000</v>
      </c>
      <c r="T95" s="6">
        <v>40640000</v>
      </c>
      <c r="U95" s="6">
        <v>548640000</v>
      </c>
      <c r="V95" s="6">
        <v>398000000</v>
      </c>
      <c r="X95" s="6">
        <v>10000000</v>
      </c>
      <c r="Y95" s="6">
        <v>10000000</v>
      </c>
      <c r="Z95" s="8">
        <v>45941</v>
      </c>
      <c r="AA95" s="6" t="s">
        <v>2303</v>
      </c>
    </row>
    <row r="96" spans="1:27" x14ac:dyDescent="0.25">
      <c r="A96" s="8">
        <v>45965</v>
      </c>
      <c r="B96" s="6" t="s">
        <v>433</v>
      </c>
      <c r="C96" s="6" t="s">
        <v>1485</v>
      </c>
      <c r="D96" s="6" t="s">
        <v>36</v>
      </c>
      <c r="E96" s="6" t="str">
        <f>VLOOKUP(D96,'shipping inf'!B:D,2,FALSE)</f>
        <v>TP Hồ Chí Minh</v>
      </c>
      <c r="F96" s="6" t="s">
        <v>617</v>
      </c>
      <c r="G96" s="6">
        <v>120</v>
      </c>
      <c r="H96" s="6">
        <v>2511201501</v>
      </c>
      <c r="I96" s="6" t="s">
        <v>1367</v>
      </c>
      <c r="J96" s="6">
        <v>24</v>
      </c>
      <c r="K96" s="6">
        <v>24</v>
      </c>
      <c r="L96" s="6" t="s">
        <v>19</v>
      </c>
      <c r="M96" s="6" t="s">
        <v>37</v>
      </c>
      <c r="N96" s="6" t="str">
        <f>VLOOKUP(Table1[[#This Row],[elevator_traction_machine]],'Product inf'!A:B,2,FALSE)</f>
        <v>SP006</v>
      </c>
      <c r="O96" s="6" t="s">
        <v>3</v>
      </c>
      <c r="P96" s="6" t="s">
        <v>9</v>
      </c>
      <c r="Q96" s="6" t="s">
        <v>67</v>
      </c>
      <c r="R96" s="6" t="s">
        <v>68</v>
      </c>
      <c r="S96" s="6">
        <v>385500000</v>
      </c>
      <c r="U96" s="6">
        <v>385500000</v>
      </c>
      <c r="V96" s="6">
        <v>386000000</v>
      </c>
      <c r="X96" s="6">
        <v>20000000</v>
      </c>
      <c r="Y96" s="6">
        <v>10000000</v>
      </c>
      <c r="Z96" s="8">
        <v>45966</v>
      </c>
      <c r="AA96" s="6" t="s">
        <v>2345</v>
      </c>
    </row>
    <row r="97" spans="1:27" x14ac:dyDescent="0.25">
      <c r="A97" s="8">
        <v>45937</v>
      </c>
      <c r="B97" s="6" t="s">
        <v>404</v>
      </c>
      <c r="C97" s="6" t="s">
        <v>1486</v>
      </c>
      <c r="D97" s="6" t="s">
        <v>39</v>
      </c>
      <c r="E97" s="6" t="str">
        <f>VLOOKUP(D97,'shipping inf'!B:D,2,FALSE)</f>
        <v>An Giang</v>
      </c>
      <c r="F97" s="6" t="s">
        <v>618</v>
      </c>
      <c r="G97" s="6">
        <v>60</v>
      </c>
      <c r="H97" s="6">
        <v>2511201601</v>
      </c>
      <c r="I97" s="6" t="s">
        <v>1367</v>
      </c>
      <c r="J97" s="6">
        <v>24</v>
      </c>
      <c r="K97" s="6">
        <v>24</v>
      </c>
      <c r="L97" s="6" t="s">
        <v>19</v>
      </c>
      <c r="M97" s="6" t="s">
        <v>37</v>
      </c>
      <c r="N97" s="6" t="str">
        <f>VLOOKUP(Table1[[#This Row],[elevator_traction_machine]],'Product inf'!A:B,2,FALSE)</f>
        <v>SP006</v>
      </c>
      <c r="O97" s="6" t="s">
        <v>3</v>
      </c>
      <c r="P97" s="6" t="s">
        <v>9</v>
      </c>
      <c r="Q97" s="6" t="s">
        <v>67</v>
      </c>
      <c r="R97" s="6" t="s">
        <v>68</v>
      </c>
      <c r="S97" s="6">
        <v>360000000</v>
      </c>
      <c r="U97" s="6">
        <v>360000000</v>
      </c>
      <c r="V97" s="6">
        <v>375000000</v>
      </c>
      <c r="X97" s="6">
        <v>20000000</v>
      </c>
      <c r="Y97" s="6">
        <v>6000000</v>
      </c>
      <c r="Z97" s="8">
        <v>45937</v>
      </c>
      <c r="AA97" s="6" t="s">
        <v>2324</v>
      </c>
    </row>
    <row r="98" spans="1:27" x14ac:dyDescent="0.25">
      <c r="A98" s="8">
        <v>45947</v>
      </c>
      <c r="B98" s="6" t="s">
        <v>421</v>
      </c>
      <c r="C98" s="6" t="s">
        <v>1487</v>
      </c>
      <c r="D98" s="6" t="s">
        <v>36</v>
      </c>
      <c r="E98" s="6" t="str">
        <f>VLOOKUP(D98,'shipping inf'!B:D,2,FALSE)</f>
        <v>TP Hồ Chí Minh</v>
      </c>
      <c r="F98" s="6" t="s">
        <v>619</v>
      </c>
      <c r="G98" s="6">
        <v>90</v>
      </c>
      <c r="H98" s="6">
        <v>2511201701</v>
      </c>
      <c r="I98" s="6" t="s">
        <v>1367</v>
      </c>
      <c r="J98" s="6">
        <v>24</v>
      </c>
      <c r="K98" s="6">
        <v>36</v>
      </c>
      <c r="L98" s="6" t="s">
        <v>19</v>
      </c>
      <c r="M98" s="6" t="s">
        <v>37</v>
      </c>
      <c r="N98" s="6" t="str">
        <f>VLOOKUP(Table1[[#This Row],[elevator_traction_machine]],'Product inf'!A:B,2,FALSE)</f>
        <v>SP006</v>
      </c>
      <c r="O98" s="6" t="s">
        <v>3</v>
      </c>
      <c r="P98" s="6" t="s">
        <v>9</v>
      </c>
      <c r="Q98" s="6" t="s">
        <v>67</v>
      </c>
      <c r="R98" s="6" t="s">
        <v>68</v>
      </c>
      <c r="S98" s="6">
        <v>385000000</v>
      </c>
      <c r="U98" s="6">
        <v>385000000</v>
      </c>
      <c r="V98" s="6">
        <v>385000000</v>
      </c>
      <c r="X98" s="6">
        <v>10000000</v>
      </c>
      <c r="Y98" s="6">
        <v>10000000</v>
      </c>
      <c r="Z98" s="8">
        <v>45947</v>
      </c>
      <c r="AA98" s="6" t="s">
        <v>2324</v>
      </c>
    </row>
    <row r="99" spans="1:27" x14ac:dyDescent="0.25">
      <c r="A99" s="8">
        <v>46014</v>
      </c>
      <c r="B99" s="6" t="s">
        <v>461</v>
      </c>
      <c r="C99" s="6" t="s">
        <v>1488</v>
      </c>
      <c r="D99" s="6" t="s">
        <v>36</v>
      </c>
      <c r="E99" s="6" t="str">
        <f>VLOOKUP(D99,'shipping inf'!B:D,2,FALSE)</f>
        <v>TP Hồ Chí Minh</v>
      </c>
      <c r="F99" s="6" t="s">
        <v>620</v>
      </c>
      <c r="G99" s="6">
        <v>120</v>
      </c>
      <c r="H99" s="6">
        <v>2511201901</v>
      </c>
      <c r="I99" s="6" t="s">
        <v>1367</v>
      </c>
      <c r="J99" s="6">
        <v>24</v>
      </c>
      <c r="K99" s="6">
        <v>24</v>
      </c>
      <c r="L99" s="6" t="s">
        <v>19</v>
      </c>
      <c r="M99" s="6" t="s">
        <v>37</v>
      </c>
      <c r="N99" s="6" t="str">
        <f>VLOOKUP(Table1[[#This Row],[elevator_traction_machine]],'Product inf'!A:B,2,FALSE)</f>
        <v>SP015</v>
      </c>
      <c r="O99" s="6" t="s">
        <v>3</v>
      </c>
      <c r="P99" s="6" t="s">
        <v>9</v>
      </c>
      <c r="Q99" s="6" t="s">
        <v>70</v>
      </c>
      <c r="R99" s="6" t="s">
        <v>68</v>
      </c>
      <c r="S99" s="6">
        <v>407000000</v>
      </c>
      <c r="U99" s="6">
        <v>407000000</v>
      </c>
      <c r="V99" s="6">
        <v>407300000</v>
      </c>
      <c r="X99" s="6">
        <v>15000000</v>
      </c>
      <c r="Y99" s="6">
        <v>10000000</v>
      </c>
      <c r="Z99" s="8">
        <v>46014</v>
      </c>
      <c r="AA99" s="6" t="s">
        <v>2366</v>
      </c>
    </row>
    <row r="100" spans="1:27" x14ac:dyDescent="0.25">
      <c r="A100" s="8">
        <v>45479</v>
      </c>
      <c r="B100" s="6" t="s">
        <v>143</v>
      </c>
      <c r="C100" s="6" t="s">
        <v>1489</v>
      </c>
      <c r="D100" s="6" t="s">
        <v>36</v>
      </c>
      <c r="E100" s="6" t="str">
        <f>VLOOKUP(D100,'shipping inf'!B:D,2,FALSE)</f>
        <v>TP Hồ Chí Minh</v>
      </c>
      <c r="F100" s="6" t="s">
        <v>621</v>
      </c>
      <c r="G100" s="6">
        <v>90</v>
      </c>
      <c r="H100" s="6">
        <v>2410102201</v>
      </c>
      <c r="I100" s="6" t="s">
        <v>1375</v>
      </c>
      <c r="J100" s="6">
        <v>24</v>
      </c>
      <c r="K100" s="6">
        <v>12</v>
      </c>
      <c r="L100" s="6" t="s">
        <v>2</v>
      </c>
      <c r="M100" s="6" t="s">
        <v>37</v>
      </c>
      <c r="N100" s="6" t="str">
        <f>VLOOKUP(Table1[[#This Row],[elevator_traction_machine]],'Product inf'!A:B,2,FALSE)</f>
        <v>SP006</v>
      </c>
      <c r="O100" s="6" t="s">
        <v>3</v>
      </c>
      <c r="P100" s="6" t="s">
        <v>9</v>
      </c>
      <c r="Q100" s="6" t="s">
        <v>67</v>
      </c>
      <c r="R100" s="6" t="s">
        <v>68</v>
      </c>
      <c r="S100" s="6">
        <v>360000000</v>
      </c>
      <c r="U100" s="6">
        <v>360000000</v>
      </c>
      <c r="X100" s="6">
        <v>15000000</v>
      </c>
      <c r="Y100" s="6">
        <v>4600000</v>
      </c>
      <c r="Z100" s="8">
        <v>45483</v>
      </c>
      <c r="AA100" s="6" t="s">
        <v>2017</v>
      </c>
    </row>
    <row r="101" spans="1:27" x14ac:dyDescent="0.25">
      <c r="A101" s="8">
        <v>45791</v>
      </c>
      <c r="B101" s="6" t="s">
        <v>307</v>
      </c>
      <c r="C101" s="6" t="s">
        <v>1490</v>
      </c>
      <c r="D101" s="6" t="s">
        <v>62</v>
      </c>
      <c r="E101" s="6" t="str">
        <f>VLOOKUP(D101,'shipping inf'!B:D,2,FALSE)</f>
        <v>Vĩnh Long</v>
      </c>
      <c r="F101" s="6" t="s">
        <v>552</v>
      </c>
      <c r="G101" s="6">
        <v>90</v>
      </c>
      <c r="H101" s="6">
        <v>2510102201</v>
      </c>
      <c r="I101" s="6" t="s">
        <v>1375</v>
      </c>
      <c r="J101" s="6">
        <v>24</v>
      </c>
      <c r="K101" s="6">
        <v>12</v>
      </c>
      <c r="L101" s="6" t="s">
        <v>2</v>
      </c>
      <c r="M101" s="6" t="s">
        <v>37</v>
      </c>
      <c r="N101" s="6" t="str">
        <f>VLOOKUP(Table1[[#This Row],[elevator_traction_machine]],'Product inf'!A:B,2,FALSE)</f>
        <v>SP006</v>
      </c>
      <c r="O101" s="6" t="s">
        <v>3</v>
      </c>
      <c r="P101" s="6" t="s">
        <v>9</v>
      </c>
      <c r="Q101" s="6" t="s">
        <v>67</v>
      </c>
      <c r="R101" s="6" t="s">
        <v>68</v>
      </c>
      <c r="S101" s="6">
        <v>423000000</v>
      </c>
      <c r="T101" s="6">
        <v>33840000</v>
      </c>
      <c r="U101" s="6">
        <v>456840000</v>
      </c>
      <c r="V101" s="6">
        <v>421000000</v>
      </c>
      <c r="Y101" s="6">
        <v>5730000</v>
      </c>
      <c r="Z101" s="8">
        <v>45794</v>
      </c>
      <c r="AA101" s="6" t="s">
        <v>2227</v>
      </c>
    </row>
    <row r="102" spans="1:27" x14ac:dyDescent="0.25">
      <c r="A102" s="8">
        <v>46020</v>
      </c>
      <c r="B102" s="6" t="s">
        <v>465</v>
      </c>
      <c r="C102" s="6" t="s">
        <v>1491</v>
      </c>
      <c r="D102" s="6" t="s">
        <v>36</v>
      </c>
      <c r="E102" s="6" t="str">
        <f>VLOOKUP(D102,'shipping inf'!B:D,2,FALSE)</f>
        <v>TP Hồ Chí Minh</v>
      </c>
      <c r="F102" s="6" t="s">
        <v>622</v>
      </c>
      <c r="G102" s="6">
        <v>120</v>
      </c>
      <c r="H102" s="6">
        <v>2511202001</v>
      </c>
      <c r="I102" s="6" t="s">
        <v>1367</v>
      </c>
      <c r="J102" s="6">
        <v>24</v>
      </c>
      <c r="K102" s="6">
        <v>24</v>
      </c>
      <c r="L102" s="6" t="s">
        <v>19</v>
      </c>
      <c r="M102" s="6" t="s">
        <v>37</v>
      </c>
      <c r="N102" s="6" t="str">
        <f>VLOOKUP(Table1[[#This Row],[elevator_traction_machine]],'Product inf'!A:B,2,FALSE)</f>
        <v>SP006</v>
      </c>
      <c r="O102" s="6" t="s">
        <v>8</v>
      </c>
      <c r="P102" s="6" t="s">
        <v>9</v>
      </c>
      <c r="Q102" s="6" t="s">
        <v>67</v>
      </c>
      <c r="R102" s="6" t="s">
        <v>68</v>
      </c>
      <c r="S102" s="6">
        <v>416300000</v>
      </c>
      <c r="U102" s="6">
        <v>416300000</v>
      </c>
      <c r="V102" s="6">
        <v>418300000</v>
      </c>
      <c r="X102" s="6">
        <v>20000000</v>
      </c>
      <c r="Y102" s="6">
        <v>12000000</v>
      </c>
      <c r="Z102" s="8">
        <v>46020</v>
      </c>
      <c r="AA102" s="6" t="s">
        <v>2366</v>
      </c>
    </row>
    <row r="103" spans="1:27" x14ac:dyDescent="0.25">
      <c r="A103" s="8">
        <v>45479</v>
      </c>
      <c r="B103" s="6" t="s">
        <v>144</v>
      </c>
      <c r="C103" s="6" t="s">
        <v>1492</v>
      </c>
      <c r="D103" s="6" t="s">
        <v>36</v>
      </c>
      <c r="E103" s="6" t="str">
        <f>VLOOKUP(D103,'shipping inf'!B:D,2,FALSE)</f>
        <v>TP Hồ Chí Minh</v>
      </c>
      <c r="F103" s="6" t="s">
        <v>621</v>
      </c>
      <c r="G103" s="6">
        <v>90</v>
      </c>
      <c r="H103" s="6">
        <v>2410102301</v>
      </c>
      <c r="I103" s="6" t="s">
        <v>1375</v>
      </c>
      <c r="J103" s="6">
        <v>24</v>
      </c>
      <c r="K103" s="6">
        <v>12</v>
      </c>
      <c r="L103" s="6" t="s">
        <v>2</v>
      </c>
      <c r="M103" s="6" t="s">
        <v>37</v>
      </c>
      <c r="N103" s="6" t="str">
        <f>VLOOKUP(Table1[[#This Row],[elevator_traction_machine]],'Product inf'!A:B,2,FALSE)</f>
        <v>SP006</v>
      </c>
      <c r="O103" s="6" t="s">
        <v>3</v>
      </c>
      <c r="P103" s="6" t="s">
        <v>9</v>
      </c>
      <c r="Q103" s="6" t="s">
        <v>67</v>
      </c>
      <c r="R103" s="6" t="s">
        <v>68</v>
      </c>
      <c r="S103" s="6">
        <v>340000000</v>
      </c>
      <c r="U103" s="6">
        <v>340000000</v>
      </c>
      <c r="X103" s="6">
        <v>15000000</v>
      </c>
      <c r="Y103" s="6">
        <v>4400000</v>
      </c>
      <c r="Z103" s="8">
        <v>45483</v>
      </c>
      <c r="AA103" s="6" t="s">
        <v>2017</v>
      </c>
    </row>
    <row r="104" spans="1:27" x14ac:dyDescent="0.25">
      <c r="A104" s="8">
        <v>45835</v>
      </c>
      <c r="B104" s="6" t="s">
        <v>336</v>
      </c>
      <c r="C104" s="6" t="s">
        <v>1493</v>
      </c>
      <c r="D104" s="6" t="s">
        <v>36</v>
      </c>
      <c r="E104" s="6" t="str">
        <f>VLOOKUP(D104,'shipping inf'!B:D,2,FALSE)</f>
        <v>TP Hồ Chí Minh</v>
      </c>
      <c r="F104" s="6" t="s">
        <v>623</v>
      </c>
      <c r="G104" s="6">
        <v>180</v>
      </c>
      <c r="H104" s="6">
        <v>2510102301</v>
      </c>
      <c r="I104" s="6" t="s">
        <v>1375</v>
      </c>
      <c r="J104" s="6">
        <v>24</v>
      </c>
      <c r="K104" s="6">
        <v>12</v>
      </c>
      <c r="L104" s="6" t="s">
        <v>2</v>
      </c>
      <c r="M104" s="6" t="s">
        <v>37</v>
      </c>
      <c r="N104" s="6" t="str">
        <f>VLOOKUP(Table1[[#This Row],[elevator_traction_machine]],'Product inf'!A:B,2,FALSE)</f>
        <v>SP006</v>
      </c>
      <c r="O104" s="6" t="s">
        <v>3</v>
      </c>
      <c r="P104" s="6" t="s">
        <v>9</v>
      </c>
      <c r="Q104" s="6" t="s">
        <v>67</v>
      </c>
      <c r="R104" s="6" t="s">
        <v>68</v>
      </c>
      <c r="S104" s="6">
        <v>1150000000</v>
      </c>
      <c r="U104" s="6">
        <v>1150000000</v>
      </c>
      <c r="V104" s="6">
        <v>1150000000</v>
      </c>
      <c r="X104" s="6">
        <v>20000000</v>
      </c>
      <c r="Z104" s="8">
        <v>45836</v>
      </c>
      <c r="AA104" s="6" t="s">
        <v>2248</v>
      </c>
    </row>
    <row r="105" spans="1:27" x14ac:dyDescent="0.25">
      <c r="A105" s="8">
        <v>45505</v>
      </c>
      <c r="B105" s="6" t="s">
        <v>164</v>
      </c>
      <c r="C105" s="6" t="s">
        <v>1494</v>
      </c>
      <c r="D105" s="6" t="s">
        <v>36</v>
      </c>
      <c r="E105" s="6" t="str">
        <f>VLOOKUP(D105,'shipping inf'!B:D,2,FALSE)</f>
        <v>TP Hồ Chí Minh</v>
      </c>
      <c r="F105" s="6" t="s">
        <v>624</v>
      </c>
      <c r="G105" s="6">
        <v>90</v>
      </c>
      <c r="H105" s="6">
        <v>2410102401</v>
      </c>
      <c r="I105" s="6" t="s">
        <v>1375</v>
      </c>
      <c r="J105" s="6">
        <v>24</v>
      </c>
      <c r="K105" s="6">
        <v>12</v>
      </c>
      <c r="L105" s="6" t="s">
        <v>2</v>
      </c>
      <c r="M105" s="6" t="s">
        <v>37</v>
      </c>
      <c r="N105" s="6" t="str">
        <f>VLOOKUP(Table1[[#This Row],[elevator_traction_machine]],'Product inf'!A:B,2,FALSE)</f>
        <v>SP015</v>
      </c>
      <c r="O105" s="6" t="s">
        <v>3</v>
      </c>
      <c r="P105" s="6" t="s">
        <v>9</v>
      </c>
      <c r="Q105" s="6" t="s">
        <v>70</v>
      </c>
      <c r="R105" s="6" t="s">
        <v>68</v>
      </c>
      <c r="S105" s="6">
        <v>400000000</v>
      </c>
      <c r="U105" s="6">
        <v>400000000</v>
      </c>
      <c r="V105" s="6">
        <v>402430000</v>
      </c>
      <c r="Y105" s="6">
        <v>5200000</v>
      </c>
      <c r="Z105" s="8">
        <v>45507</v>
      </c>
      <c r="AA105" s="6" t="s">
        <v>2038</v>
      </c>
    </row>
    <row r="106" spans="1:27" x14ac:dyDescent="0.25">
      <c r="A106" s="8">
        <v>45803</v>
      </c>
      <c r="B106" s="6" t="s">
        <v>316</v>
      </c>
      <c r="C106" s="6" t="s">
        <v>1495</v>
      </c>
      <c r="D106" s="6" t="s">
        <v>36</v>
      </c>
      <c r="E106" s="6" t="str">
        <f>VLOOKUP(D106,'shipping inf'!B:D,2,FALSE)</f>
        <v>TP Hồ Chí Minh</v>
      </c>
      <c r="F106" s="6" t="s">
        <v>625</v>
      </c>
      <c r="G106" s="6">
        <v>90</v>
      </c>
      <c r="H106" s="6">
        <v>2510102402</v>
      </c>
      <c r="I106" s="6" t="s">
        <v>1375</v>
      </c>
      <c r="J106" s="6">
        <v>36</v>
      </c>
      <c r="K106" s="6">
        <v>24</v>
      </c>
      <c r="L106" s="6" t="s">
        <v>2</v>
      </c>
      <c r="M106" s="6" t="s">
        <v>37</v>
      </c>
      <c r="N106" s="6" t="str">
        <f>VLOOKUP(Table1[[#This Row],[elevator_traction_machine]],'Product inf'!A:B,2,FALSE)</f>
        <v>SP006</v>
      </c>
      <c r="O106" s="6" t="s">
        <v>8</v>
      </c>
      <c r="P106" s="6" t="s">
        <v>9</v>
      </c>
      <c r="Q106" s="6" t="s">
        <v>67</v>
      </c>
      <c r="R106" s="6" t="s">
        <v>68</v>
      </c>
      <c r="S106" s="6">
        <v>440000000</v>
      </c>
      <c r="U106" s="6">
        <v>440000000</v>
      </c>
      <c r="V106" s="6">
        <v>434000000</v>
      </c>
      <c r="Y106" s="6">
        <v>10600000</v>
      </c>
      <c r="Z106" s="8">
        <v>45804</v>
      </c>
      <c r="AA106" s="6" t="s">
        <v>2227</v>
      </c>
    </row>
    <row r="107" spans="1:27" x14ac:dyDescent="0.25">
      <c r="A107" s="8">
        <v>45803</v>
      </c>
      <c r="B107" s="6" t="s">
        <v>316</v>
      </c>
      <c r="C107" s="6" t="s">
        <v>1496</v>
      </c>
      <c r="D107" s="6" t="s">
        <v>36</v>
      </c>
      <c r="E107" s="6" t="str">
        <f>VLOOKUP(D107,'shipping inf'!B:D,2,FALSE)</f>
        <v>TP Hồ Chí Minh</v>
      </c>
      <c r="F107" s="6" t="s">
        <v>625</v>
      </c>
      <c r="G107" s="6">
        <v>90</v>
      </c>
      <c r="H107" s="6">
        <v>2510102402</v>
      </c>
      <c r="I107" s="6" t="s">
        <v>1375</v>
      </c>
      <c r="J107" s="6">
        <v>36</v>
      </c>
      <c r="K107" s="6">
        <v>24</v>
      </c>
      <c r="L107" s="6" t="s">
        <v>2</v>
      </c>
      <c r="M107" s="6" t="s">
        <v>37</v>
      </c>
      <c r="N107" s="6" t="str">
        <f>VLOOKUP(Table1[[#This Row],[elevator_traction_machine]],'Product inf'!A:B,2,FALSE)</f>
        <v>SP006</v>
      </c>
      <c r="O107" s="6" t="s">
        <v>3</v>
      </c>
      <c r="P107" s="6" t="s">
        <v>9</v>
      </c>
      <c r="Q107" s="6" t="s">
        <v>67</v>
      </c>
      <c r="R107" s="6" t="s">
        <v>68</v>
      </c>
      <c r="S107" s="6">
        <v>380000000</v>
      </c>
      <c r="U107" s="6">
        <v>380000000</v>
      </c>
      <c r="V107" s="6">
        <v>405700000</v>
      </c>
      <c r="Z107" s="8">
        <v>45804</v>
      </c>
      <c r="AA107" s="6" t="s">
        <v>2227</v>
      </c>
    </row>
    <row r="108" spans="1:27" x14ac:dyDescent="0.25">
      <c r="A108" s="8">
        <v>45506</v>
      </c>
      <c r="B108" s="6" t="s">
        <v>165</v>
      </c>
      <c r="C108" s="6" t="s">
        <v>1497</v>
      </c>
      <c r="D108" s="6" t="s">
        <v>36</v>
      </c>
      <c r="E108" s="6" t="str">
        <f>VLOOKUP(D108,'shipping inf'!B:D,2,FALSE)</f>
        <v>TP Hồ Chí Minh</v>
      </c>
      <c r="F108" s="6" t="s">
        <v>626</v>
      </c>
      <c r="G108" s="6">
        <v>120</v>
      </c>
      <c r="H108" s="6">
        <v>2410102501</v>
      </c>
      <c r="I108" s="6" t="s">
        <v>1375</v>
      </c>
      <c r="J108" s="6">
        <v>24</v>
      </c>
      <c r="K108" s="6">
        <v>12</v>
      </c>
      <c r="L108" s="6" t="s">
        <v>2</v>
      </c>
      <c r="M108" s="6" t="s">
        <v>37</v>
      </c>
      <c r="N108" s="6" t="str">
        <f>VLOOKUP(Table1[[#This Row],[elevator_traction_machine]],'Product inf'!A:B,2,FALSE)</f>
        <v>SP006</v>
      </c>
      <c r="O108" s="6" t="s">
        <v>3</v>
      </c>
      <c r="P108" s="6" t="s">
        <v>9</v>
      </c>
      <c r="Q108" s="6" t="s">
        <v>67</v>
      </c>
      <c r="R108" s="6" t="s">
        <v>68</v>
      </c>
      <c r="S108" s="6">
        <v>362000000</v>
      </c>
      <c r="T108" s="6">
        <v>28960000</v>
      </c>
      <c r="U108" s="6">
        <v>390960000</v>
      </c>
      <c r="Y108" s="6">
        <v>5120000</v>
      </c>
      <c r="Z108" s="8">
        <v>45509</v>
      </c>
      <c r="AA108" s="6" t="s">
        <v>2038</v>
      </c>
    </row>
    <row r="109" spans="1:27" x14ac:dyDescent="0.25">
      <c r="A109" s="8">
        <v>45819</v>
      </c>
      <c r="B109" s="6" t="s">
        <v>321</v>
      </c>
      <c r="C109" s="6" t="s">
        <v>1498</v>
      </c>
      <c r="D109" s="6" t="s">
        <v>36</v>
      </c>
      <c r="E109" s="6" t="str">
        <f>VLOOKUP(D109,'shipping inf'!B:D,2,FALSE)</f>
        <v>TP Hồ Chí Minh</v>
      </c>
      <c r="F109" s="6" t="s">
        <v>627</v>
      </c>
      <c r="G109" s="6">
        <v>90</v>
      </c>
      <c r="H109" s="6">
        <v>2510102501</v>
      </c>
      <c r="I109" s="6" t="s">
        <v>1375</v>
      </c>
      <c r="J109" s="6">
        <v>24</v>
      </c>
      <c r="K109" s="6">
        <v>12</v>
      </c>
      <c r="L109" s="6" t="s">
        <v>2</v>
      </c>
      <c r="M109" s="6" t="s">
        <v>37</v>
      </c>
      <c r="N109" s="6" t="str">
        <f>VLOOKUP(Table1[[#This Row],[elevator_traction_machine]],'Product inf'!A:B,2,FALSE)</f>
        <v>SP010</v>
      </c>
      <c r="O109" s="6" t="s">
        <v>3</v>
      </c>
      <c r="P109" s="6" t="s">
        <v>9</v>
      </c>
      <c r="Q109" s="6" t="s">
        <v>254</v>
      </c>
      <c r="R109" s="6" t="s">
        <v>255</v>
      </c>
      <c r="S109" s="6">
        <v>450000000</v>
      </c>
      <c r="U109" s="6">
        <v>450000000</v>
      </c>
      <c r="V109" s="6">
        <v>466000000</v>
      </c>
      <c r="Y109" s="6">
        <v>5600000</v>
      </c>
      <c r="Z109" s="8">
        <v>45819</v>
      </c>
      <c r="AA109" s="6" t="s">
        <v>2248</v>
      </c>
    </row>
    <row r="110" spans="1:27" x14ac:dyDescent="0.25">
      <c r="A110" s="8">
        <v>45511</v>
      </c>
      <c r="B110" s="6" t="s">
        <v>167</v>
      </c>
      <c r="C110" s="6" t="s">
        <v>1499</v>
      </c>
      <c r="D110" s="6" t="s">
        <v>48</v>
      </c>
      <c r="E110" s="6" t="str">
        <f>VLOOKUP(D110,'shipping inf'!B:D,2,FALSE)</f>
        <v>Đồng Nai</v>
      </c>
      <c r="F110" s="6" t="s">
        <v>628</v>
      </c>
      <c r="G110" s="6">
        <v>40</v>
      </c>
      <c r="H110" s="6">
        <v>2410102601</v>
      </c>
      <c r="I110" s="6" t="s">
        <v>1375</v>
      </c>
      <c r="J110" s="6">
        <v>24</v>
      </c>
      <c r="K110" s="6">
        <v>12</v>
      </c>
      <c r="L110" s="6" t="s">
        <v>2</v>
      </c>
      <c r="M110" s="6" t="s">
        <v>37</v>
      </c>
      <c r="N110" s="6" t="str">
        <f>VLOOKUP(Table1[[#This Row],[elevator_traction_machine]],'Product inf'!A:B,2,FALSE)</f>
        <v>SP006</v>
      </c>
      <c r="O110" s="6" t="s">
        <v>3</v>
      </c>
      <c r="P110" s="6" t="s">
        <v>13</v>
      </c>
      <c r="Q110" s="6" t="s">
        <v>67</v>
      </c>
      <c r="R110" s="6" t="s">
        <v>68</v>
      </c>
      <c r="S110" s="6">
        <v>400000000</v>
      </c>
      <c r="T110" s="6">
        <v>32000000</v>
      </c>
      <c r="U110" s="6">
        <v>432000000</v>
      </c>
      <c r="V110" s="6">
        <v>402500000</v>
      </c>
      <c r="Y110" s="6">
        <v>5200000</v>
      </c>
      <c r="Z110" s="8">
        <v>45511</v>
      </c>
      <c r="AA110" s="6" t="s">
        <v>2038</v>
      </c>
    </row>
    <row r="111" spans="1:27" x14ac:dyDescent="0.25">
      <c r="A111" s="8">
        <v>45547</v>
      </c>
      <c r="B111" s="6" t="s">
        <v>186</v>
      </c>
      <c r="C111" s="6" t="s">
        <v>1500</v>
      </c>
      <c r="D111" s="6" t="s">
        <v>36</v>
      </c>
      <c r="E111" s="6" t="str">
        <f>VLOOKUP(D111,'shipping inf'!B:D,2,FALSE)</f>
        <v>TP Hồ Chí Minh</v>
      </c>
      <c r="F111" s="6" t="s">
        <v>629</v>
      </c>
      <c r="G111" s="6">
        <v>70</v>
      </c>
      <c r="H111" s="6">
        <v>2410102701</v>
      </c>
      <c r="I111" s="6" t="s">
        <v>1375</v>
      </c>
      <c r="J111" s="6">
        <v>24</v>
      </c>
      <c r="K111" s="6">
        <v>12</v>
      </c>
      <c r="L111" s="6" t="s">
        <v>2</v>
      </c>
      <c r="M111" s="6" t="s">
        <v>37</v>
      </c>
      <c r="N111" s="6" t="str">
        <f>VLOOKUP(Table1[[#This Row],[elevator_traction_machine]],'Product inf'!A:B,2,FALSE)</f>
        <v>SP006</v>
      </c>
      <c r="O111" s="6" t="s">
        <v>3</v>
      </c>
      <c r="P111" s="6" t="s">
        <v>9</v>
      </c>
      <c r="Q111" s="6" t="s">
        <v>67</v>
      </c>
      <c r="R111" s="6" t="s">
        <v>68</v>
      </c>
      <c r="S111" s="6">
        <v>385000000</v>
      </c>
      <c r="U111" s="6">
        <v>385000000</v>
      </c>
      <c r="V111" s="6">
        <v>399000000</v>
      </c>
      <c r="X111" s="6">
        <v>5000000</v>
      </c>
      <c r="Y111" s="6">
        <v>1200000</v>
      </c>
      <c r="Z111" s="8">
        <v>45547</v>
      </c>
      <c r="AA111" s="6" t="s">
        <v>2059</v>
      </c>
    </row>
    <row r="112" spans="1:27" x14ac:dyDescent="0.25">
      <c r="A112" s="8">
        <v>45814</v>
      </c>
      <c r="B112" s="6" t="s">
        <v>323</v>
      </c>
      <c r="C112" s="6" t="s">
        <v>1501</v>
      </c>
      <c r="D112" s="6" t="s">
        <v>36</v>
      </c>
      <c r="E112" s="6" t="str">
        <f>VLOOKUP(D112,'shipping inf'!B:D,2,FALSE)</f>
        <v>TP Hồ Chí Minh</v>
      </c>
      <c r="F112" s="6" t="s">
        <v>630</v>
      </c>
      <c r="G112" s="6">
        <v>90</v>
      </c>
      <c r="H112" s="6">
        <v>2510102701</v>
      </c>
      <c r="I112" s="6" t="s">
        <v>1375</v>
      </c>
      <c r="J112" s="6">
        <v>24</v>
      </c>
      <c r="K112" s="6">
        <v>12</v>
      </c>
      <c r="L112" s="6" t="s">
        <v>2</v>
      </c>
      <c r="M112" s="6" t="s">
        <v>37</v>
      </c>
      <c r="N112" s="6" t="str">
        <f>VLOOKUP(Table1[[#This Row],[elevator_traction_machine]],'Product inf'!A:B,2,FALSE)</f>
        <v>SP006</v>
      </c>
      <c r="O112" s="6" t="s">
        <v>3</v>
      </c>
      <c r="P112" s="6" t="s">
        <v>9</v>
      </c>
      <c r="Q112" s="6" t="s">
        <v>67</v>
      </c>
      <c r="R112" s="6" t="s">
        <v>68</v>
      </c>
      <c r="S112" s="6">
        <v>410000000</v>
      </c>
      <c r="T112" s="6">
        <v>32800000</v>
      </c>
      <c r="U112" s="6">
        <v>442800000</v>
      </c>
      <c r="V112" s="6">
        <v>409900000</v>
      </c>
      <c r="Y112" s="6">
        <v>5600000</v>
      </c>
      <c r="Z112" s="8">
        <v>45820</v>
      </c>
      <c r="AA112" s="6" t="s">
        <v>2248</v>
      </c>
    </row>
    <row r="113" spans="1:27" x14ac:dyDescent="0.25">
      <c r="A113" s="8">
        <v>45531</v>
      </c>
      <c r="B113" s="6" t="s">
        <v>183</v>
      </c>
      <c r="C113" s="6" t="s">
        <v>1502</v>
      </c>
      <c r="D113" s="6" t="s">
        <v>44</v>
      </c>
      <c r="E113" s="6" t="str">
        <f>VLOOKUP(D113,'shipping inf'!B:D,2,FALSE)</f>
        <v>Lâm Đồng</v>
      </c>
      <c r="F113" s="6" t="s">
        <v>631</v>
      </c>
      <c r="G113" s="6">
        <v>90</v>
      </c>
      <c r="H113" s="6">
        <v>2410102801</v>
      </c>
      <c r="I113" s="6" t="s">
        <v>1375</v>
      </c>
      <c r="J113" s="6">
        <v>24</v>
      </c>
      <c r="K113" s="6">
        <v>12</v>
      </c>
      <c r="L113" s="6" t="s">
        <v>2</v>
      </c>
      <c r="M113" s="6" t="s">
        <v>37</v>
      </c>
      <c r="N113" s="6" t="str">
        <f>VLOOKUP(Table1[[#This Row],[elevator_traction_machine]],'Product inf'!A:B,2,FALSE)</f>
        <v>SP009</v>
      </c>
      <c r="O113" s="6" t="s">
        <v>3</v>
      </c>
      <c r="P113" s="6" t="s">
        <v>9</v>
      </c>
      <c r="Q113" s="6" t="s">
        <v>82</v>
      </c>
      <c r="R113" s="6" t="s">
        <v>68</v>
      </c>
      <c r="S113" s="6">
        <v>375000000</v>
      </c>
      <c r="U113" s="6">
        <v>375000000</v>
      </c>
      <c r="V113" s="6">
        <v>410300000</v>
      </c>
      <c r="X113" s="6">
        <v>10000000</v>
      </c>
      <c r="Y113" s="6">
        <v>4950000</v>
      </c>
      <c r="Z113" s="8">
        <v>45541</v>
      </c>
      <c r="AA113" s="6" t="s">
        <v>2038</v>
      </c>
    </row>
    <row r="114" spans="1:27" x14ac:dyDescent="0.25">
      <c r="A114" s="8">
        <v>45832</v>
      </c>
      <c r="B114" s="6" t="s">
        <v>344</v>
      </c>
      <c r="C114" s="6" t="s">
        <v>1503</v>
      </c>
      <c r="D114" s="6" t="s">
        <v>36</v>
      </c>
      <c r="E114" s="6" t="str">
        <f>VLOOKUP(D114,'shipping inf'!B:D,2,FALSE)</f>
        <v>TP Hồ Chí Minh</v>
      </c>
      <c r="F114" s="6" t="s">
        <v>632</v>
      </c>
      <c r="G114" s="6">
        <v>120</v>
      </c>
      <c r="H114" s="6">
        <v>2510102801</v>
      </c>
      <c r="I114" s="6" t="s">
        <v>1375</v>
      </c>
      <c r="J114" s="6">
        <v>36</v>
      </c>
      <c r="K114" s="6">
        <v>12</v>
      </c>
      <c r="L114" s="6" t="s">
        <v>2</v>
      </c>
      <c r="M114" s="6" t="s">
        <v>37</v>
      </c>
      <c r="N114" s="6" t="str">
        <f>VLOOKUP(Table1[[#This Row],[elevator_traction_machine]],'Product inf'!A:B,2,FALSE)</f>
        <v>SP006</v>
      </c>
      <c r="O114" s="6" t="s">
        <v>8</v>
      </c>
      <c r="P114" s="6" t="s">
        <v>9</v>
      </c>
      <c r="Q114" s="6" t="s">
        <v>67</v>
      </c>
      <c r="R114" s="6" t="s">
        <v>68</v>
      </c>
      <c r="S114" s="6">
        <v>476000000</v>
      </c>
      <c r="U114" s="6">
        <v>476000000</v>
      </c>
      <c r="V114" s="6">
        <v>483500000</v>
      </c>
      <c r="Y114" s="6">
        <v>5100000</v>
      </c>
      <c r="Z114" s="8">
        <v>45846</v>
      </c>
      <c r="AA114" s="6" t="s">
        <v>2248</v>
      </c>
    </row>
    <row r="115" spans="1:27" x14ac:dyDescent="0.25">
      <c r="A115" s="8">
        <v>45528</v>
      </c>
      <c r="B115" s="6" t="s">
        <v>176</v>
      </c>
      <c r="C115" s="6" t="s">
        <v>1504</v>
      </c>
      <c r="D115" s="6" t="s">
        <v>36</v>
      </c>
      <c r="E115" s="6" t="str">
        <f>VLOOKUP(D115,'shipping inf'!B:D,2,FALSE)</f>
        <v>TP Hồ Chí Minh</v>
      </c>
      <c r="F115" s="6" t="s">
        <v>633</v>
      </c>
      <c r="G115" s="6">
        <v>90</v>
      </c>
      <c r="H115" s="6">
        <v>2410102901</v>
      </c>
      <c r="I115" s="6" t="s">
        <v>1375</v>
      </c>
      <c r="J115" s="6">
        <v>24</v>
      </c>
      <c r="K115" s="6">
        <v>12</v>
      </c>
      <c r="L115" s="6" t="s">
        <v>2</v>
      </c>
      <c r="M115" s="6" t="s">
        <v>37</v>
      </c>
      <c r="N115" s="6" t="str">
        <f>VLOOKUP(Table1[[#This Row],[elevator_traction_machine]],'Product inf'!A:B,2,FALSE)</f>
        <v>SP009</v>
      </c>
      <c r="O115" s="6" t="s">
        <v>3</v>
      </c>
      <c r="P115" s="6" t="s">
        <v>9</v>
      </c>
      <c r="Q115" s="6" t="s">
        <v>82</v>
      </c>
      <c r="R115" s="6" t="s">
        <v>68</v>
      </c>
      <c r="S115" s="6">
        <v>436000000</v>
      </c>
      <c r="U115" s="6">
        <v>436000000</v>
      </c>
      <c r="V115" s="6">
        <v>434000000</v>
      </c>
      <c r="Y115" s="6">
        <v>5860000</v>
      </c>
      <c r="Z115" s="8">
        <v>45528</v>
      </c>
      <c r="AA115" s="6" t="s">
        <v>2038</v>
      </c>
    </row>
    <row r="116" spans="1:27" x14ac:dyDescent="0.25">
      <c r="A116" s="8">
        <v>45869</v>
      </c>
      <c r="B116" s="6" t="s">
        <v>362</v>
      </c>
      <c r="C116" s="6" t="s">
        <v>1505</v>
      </c>
      <c r="D116" s="6" t="s">
        <v>36</v>
      </c>
      <c r="E116" s="6" t="str">
        <f>VLOOKUP(D116,'shipping inf'!B:D,2,FALSE)</f>
        <v>TP Hồ Chí Minh</v>
      </c>
      <c r="F116" s="6" t="s">
        <v>634</v>
      </c>
      <c r="G116" s="6">
        <v>120</v>
      </c>
      <c r="H116" s="6">
        <v>2510102901</v>
      </c>
      <c r="I116" s="6" t="s">
        <v>1375</v>
      </c>
      <c r="J116" s="6">
        <v>24</v>
      </c>
      <c r="K116" s="6">
        <v>24</v>
      </c>
      <c r="L116" s="6" t="s">
        <v>2</v>
      </c>
      <c r="M116" s="6" t="s">
        <v>37</v>
      </c>
      <c r="N116" s="6" t="str">
        <f>VLOOKUP(Table1[[#This Row],[elevator_traction_machine]],'Product inf'!A:B,2,FALSE)</f>
        <v>SP015</v>
      </c>
      <c r="O116" s="6" t="s">
        <v>3</v>
      </c>
      <c r="P116" s="6" t="s">
        <v>9</v>
      </c>
      <c r="Q116" s="6" t="s">
        <v>70</v>
      </c>
      <c r="R116" s="6" t="s">
        <v>68</v>
      </c>
      <c r="S116" s="6">
        <v>448000000</v>
      </c>
      <c r="U116" s="6">
        <v>448000000</v>
      </c>
      <c r="V116" s="6">
        <v>443000000</v>
      </c>
      <c r="X116" s="6">
        <v>20000000</v>
      </c>
      <c r="Y116" s="6">
        <v>5980000</v>
      </c>
      <c r="Z116" s="8">
        <v>45870</v>
      </c>
      <c r="AA116" s="6" t="s">
        <v>2269</v>
      </c>
    </row>
    <row r="117" spans="1:27" x14ac:dyDescent="0.25">
      <c r="A117" s="8">
        <v>45855</v>
      </c>
      <c r="B117" s="6" t="s">
        <v>350</v>
      </c>
      <c r="C117" s="6" t="s">
        <v>1506</v>
      </c>
      <c r="D117" s="6" t="s">
        <v>36</v>
      </c>
      <c r="E117" s="6" t="str">
        <f>VLOOKUP(D117,'shipping inf'!B:D,2,FALSE)</f>
        <v>TP Hồ Chí Minh</v>
      </c>
      <c r="F117" s="6" t="s">
        <v>635</v>
      </c>
      <c r="G117" s="6">
        <v>90</v>
      </c>
      <c r="H117" s="6">
        <v>2510103001</v>
      </c>
      <c r="I117" s="6" t="s">
        <v>1375</v>
      </c>
      <c r="J117" s="6">
        <v>24</v>
      </c>
      <c r="K117" s="6">
        <v>12</v>
      </c>
      <c r="L117" s="6" t="s">
        <v>2</v>
      </c>
      <c r="M117" s="6" t="s">
        <v>37</v>
      </c>
      <c r="N117" s="6" t="str">
        <f>VLOOKUP(Table1[[#This Row],[elevator_traction_machine]],'Product inf'!A:B,2,FALSE)</f>
        <v>SP006</v>
      </c>
      <c r="O117" s="6" t="s">
        <v>3</v>
      </c>
      <c r="P117" s="6" t="s">
        <v>9</v>
      </c>
      <c r="Q117" s="6" t="s">
        <v>67</v>
      </c>
      <c r="R117" s="6" t="s">
        <v>267</v>
      </c>
      <c r="S117" s="6">
        <v>330000000</v>
      </c>
      <c r="U117" s="6">
        <v>330000000</v>
      </c>
      <c r="V117" s="6">
        <v>335000000</v>
      </c>
      <c r="Y117" s="6">
        <v>4500000</v>
      </c>
      <c r="Z117" s="8">
        <v>45855</v>
      </c>
      <c r="AA117" s="6" t="s">
        <v>2269</v>
      </c>
    </row>
    <row r="118" spans="1:27" x14ac:dyDescent="0.25">
      <c r="A118" s="8">
        <v>45555</v>
      </c>
      <c r="B118" s="6" t="s">
        <v>188</v>
      </c>
      <c r="C118" s="6" t="s">
        <v>1507</v>
      </c>
      <c r="D118" s="6" t="s">
        <v>36</v>
      </c>
      <c r="E118" s="6" t="str">
        <f>VLOOKUP(D118,'shipping inf'!B:D,2,FALSE)</f>
        <v>TP Hồ Chí Minh</v>
      </c>
      <c r="F118" s="6" t="s">
        <v>636</v>
      </c>
      <c r="G118" s="6">
        <v>90</v>
      </c>
      <c r="H118" s="6">
        <v>2410103101</v>
      </c>
      <c r="I118" s="6" t="s">
        <v>1375</v>
      </c>
      <c r="J118" s="6">
        <v>24</v>
      </c>
      <c r="K118" s="6">
        <v>24</v>
      </c>
      <c r="L118" s="6" t="s">
        <v>2</v>
      </c>
      <c r="M118" s="6" t="s">
        <v>37</v>
      </c>
      <c r="N118" s="6" t="str">
        <f>VLOOKUP(Table1[[#This Row],[elevator_traction_machine]],'Product inf'!A:B,2,FALSE)</f>
        <v>SP015</v>
      </c>
      <c r="O118" s="6" t="s">
        <v>8</v>
      </c>
      <c r="P118" s="6" t="s">
        <v>9</v>
      </c>
      <c r="Q118" s="6" t="s">
        <v>70</v>
      </c>
      <c r="R118" s="6" t="s">
        <v>68</v>
      </c>
      <c r="S118" s="6">
        <v>521000000</v>
      </c>
      <c r="U118" s="6">
        <v>521000000</v>
      </c>
      <c r="V118" s="6">
        <v>508400000</v>
      </c>
      <c r="X118" s="6">
        <v>10000000</v>
      </c>
      <c r="Y118" s="6">
        <v>6210000</v>
      </c>
      <c r="Z118" s="8">
        <v>45555</v>
      </c>
      <c r="AA118" s="6" t="s">
        <v>2059</v>
      </c>
    </row>
    <row r="119" spans="1:27" x14ac:dyDescent="0.25">
      <c r="A119" s="8">
        <v>45853</v>
      </c>
      <c r="B119" s="6" t="s">
        <v>348</v>
      </c>
      <c r="C119" s="6" t="s">
        <v>1508</v>
      </c>
      <c r="D119" s="6" t="s">
        <v>36</v>
      </c>
      <c r="E119" s="6" t="str">
        <f>VLOOKUP(D119,'shipping inf'!B:D,2,FALSE)</f>
        <v>TP Hồ Chí Minh</v>
      </c>
      <c r="F119" s="6" t="s">
        <v>637</v>
      </c>
      <c r="G119" s="6">
        <v>75</v>
      </c>
      <c r="H119" s="6">
        <v>2510103101</v>
      </c>
      <c r="I119" s="6" t="s">
        <v>1375</v>
      </c>
      <c r="J119" s="6">
        <v>24</v>
      </c>
      <c r="K119" s="6">
        <v>12</v>
      </c>
      <c r="L119" s="6" t="s">
        <v>2</v>
      </c>
      <c r="M119" s="6" t="s">
        <v>37</v>
      </c>
      <c r="N119" s="6" t="str">
        <f>VLOOKUP(Table1[[#This Row],[elevator_traction_machine]],'Product inf'!A:B,2,FALSE)</f>
        <v>SP006</v>
      </c>
      <c r="O119" s="6" t="s">
        <v>3</v>
      </c>
      <c r="P119" s="6" t="s">
        <v>9</v>
      </c>
      <c r="Q119" s="6" t="s">
        <v>67</v>
      </c>
      <c r="R119" s="6" t="s">
        <v>68</v>
      </c>
      <c r="S119" s="6">
        <v>365000000</v>
      </c>
      <c r="U119" s="6">
        <v>365000000</v>
      </c>
      <c r="V119" s="6">
        <v>358000000</v>
      </c>
      <c r="Y119" s="6">
        <v>5150000</v>
      </c>
      <c r="Z119" s="8">
        <v>45854</v>
      </c>
      <c r="AA119" s="6" t="s">
        <v>2269</v>
      </c>
    </row>
    <row r="120" spans="1:27" x14ac:dyDescent="0.25">
      <c r="A120" s="8">
        <v>45614</v>
      </c>
      <c r="B120" s="6" t="s">
        <v>235</v>
      </c>
      <c r="C120" s="6" t="s">
        <v>1509</v>
      </c>
      <c r="D120" s="6" t="s">
        <v>44</v>
      </c>
      <c r="E120" s="6" t="str">
        <f>VLOOKUP(D120,'shipping inf'!B:D,2,FALSE)</f>
        <v>Lâm Đồng</v>
      </c>
      <c r="F120" s="6" t="s">
        <v>638</v>
      </c>
      <c r="G120" s="6">
        <v>120</v>
      </c>
      <c r="H120" s="6">
        <v>2410103201</v>
      </c>
      <c r="I120" s="6" t="s">
        <v>1375</v>
      </c>
      <c r="J120" s="6">
        <v>36</v>
      </c>
      <c r="K120" s="6">
        <v>24</v>
      </c>
      <c r="L120" s="6" t="s">
        <v>2</v>
      </c>
      <c r="M120" s="6" t="s">
        <v>37</v>
      </c>
      <c r="N120" s="6" t="str">
        <f>VLOOKUP(Table1[[#This Row],[elevator_traction_machine]],'Product inf'!A:B,2,FALSE)</f>
        <v>SP006</v>
      </c>
      <c r="O120" s="6" t="s">
        <v>3</v>
      </c>
      <c r="P120" s="6" t="s">
        <v>9</v>
      </c>
      <c r="Q120" s="6" t="s">
        <v>67</v>
      </c>
      <c r="R120" s="6" t="s">
        <v>68</v>
      </c>
      <c r="S120" s="6">
        <v>493000000</v>
      </c>
      <c r="T120" s="6">
        <v>39440000</v>
      </c>
      <c r="U120" s="6">
        <v>532440000</v>
      </c>
      <c r="X120" s="6">
        <v>15000000</v>
      </c>
      <c r="Y120" s="6">
        <v>30292400</v>
      </c>
      <c r="Z120" s="8">
        <v>45628</v>
      </c>
      <c r="AA120" s="6" t="s">
        <v>2101</v>
      </c>
    </row>
    <row r="121" spans="1:27" x14ac:dyDescent="0.25">
      <c r="A121" s="8">
        <v>45614</v>
      </c>
      <c r="B121" s="6" t="s">
        <v>235</v>
      </c>
      <c r="C121" s="6" t="s">
        <v>1510</v>
      </c>
      <c r="D121" s="6" t="s">
        <v>44</v>
      </c>
      <c r="E121" s="6" t="str">
        <f>VLOOKUP(D121,'shipping inf'!B:D,2,FALSE)</f>
        <v>Lâm Đồng</v>
      </c>
      <c r="F121" s="6" t="s">
        <v>638</v>
      </c>
      <c r="G121" s="6">
        <v>120</v>
      </c>
      <c r="H121" s="6">
        <v>2410103202</v>
      </c>
      <c r="I121" s="6" t="s">
        <v>1375</v>
      </c>
      <c r="J121" s="6">
        <v>36</v>
      </c>
      <c r="K121" s="6">
        <v>24</v>
      </c>
      <c r="L121" s="6" t="s">
        <v>2</v>
      </c>
      <c r="M121" s="6" t="s">
        <v>37</v>
      </c>
      <c r="N121" s="6" t="str">
        <f>VLOOKUP(Table1[[#This Row],[elevator_traction_machine]],'Product inf'!A:B,2,FALSE)</f>
        <v>SP006</v>
      </c>
      <c r="O121" s="6" t="s">
        <v>3</v>
      </c>
      <c r="P121" s="6" t="s">
        <v>9</v>
      </c>
      <c r="Q121" s="6" t="s">
        <v>67</v>
      </c>
      <c r="R121" s="6" t="s">
        <v>68</v>
      </c>
      <c r="S121" s="6">
        <v>460000000</v>
      </c>
      <c r="T121" s="6">
        <v>36800000</v>
      </c>
      <c r="U121" s="6">
        <v>496800000</v>
      </c>
      <c r="Z121" s="8">
        <v>45628</v>
      </c>
      <c r="AA121" s="6" t="s">
        <v>2101</v>
      </c>
    </row>
    <row r="122" spans="1:27" x14ac:dyDescent="0.25">
      <c r="A122" s="8">
        <v>45862</v>
      </c>
      <c r="B122" s="6" t="s">
        <v>354</v>
      </c>
      <c r="C122" s="6" t="s">
        <v>1511</v>
      </c>
      <c r="D122" s="6" t="s">
        <v>36</v>
      </c>
      <c r="E122" s="6" t="str">
        <f>VLOOKUP(D122,'shipping inf'!B:D,2,FALSE)</f>
        <v>TP Hồ Chí Minh</v>
      </c>
      <c r="F122" s="6" t="s">
        <v>639</v>
      </c>
      <c r="G122" s="6">
        <v>75</v>
      </c>
      <c r="H122" s="6">
        <v>2510103201</v>
      </c>
      <c r="I122" s="6" t="s">
        <v>1375</v>
      </c>
      <c r="J122" s="6">
        <v>24</v>
      </c>
      <c r="K122" s="6">
        <v>12</v>
      </c>
      <c r="L122" s="6" t="s">
        <v>2</v>
      </c>
      <c r="M122" s="6" t="s">
        <v>37</v>
      </c>
      <c r="N122" s="6" t="str">
        <f>VLOOKUP(Table1[[#This Row],[elevator_traction_machine]],'Product inf'!A:B,2,FALSE)</f>
        <v>SP006</v>
      </c>
      <c r="O122" s="6" t="s">
        <v>3</v>
      </c>
      <c r="P122" s="6" t="s">
        <v>9</v>
      </c>
      <c r="Q122" s="6" t="s">
        <v>67</v>
      </c>
      <c r="R122" s="6" t="s">
        <v>68</v>
      </c>
      <c r="S122" s="6">
        <v>390000000</v>
      </c>
      <c r="U122" s="6">
        <v>390000000</v>
      </c>
      <c r="V122" s="6">
        <v>392000000</v>
      </c>
      <c r="Z122" s="8">
        <v>45862</v>
      </c>
      <c r="AA122" s="6" t="s">
        <v>2269</v>
      </c>
    </row>
    <row r="123" spans="1:27" x14ac:dyDescent="0.25">
      <c r="A123" s="8">
        <v>45565</v>
      </c>
      <c r="B123" s="6" t="s">
        <v>201</v>
      </c>
      <c r="C123" s="6" t="s">
        <v>1512</v>
      </c>
      <c r="D123" s="6" t="s">
        <v>42</v>
      </c>
      <c r="E123" s="6" t="str">
        <f>VLOOKUP(D123,'shipping inf'!B:D,2,FALSE)</f>
        <v>TP Hồ Chí Minh</v>
      </c>
      <c r="F123" s="6" t="s">
        <v>640</v>
      </c>
      <c r="G123" s="6">
        <v>75</v>
      </c>
      <c r="H123" s="6">
        <v>2410103301</v>
      </c>
      <c r="I123" s="6" t="s">
        <v>1375</v>
      </c>
      <c r="J123" s="6">
        <v>24</v>
      </c>
      <c r="K123" s="6">
        <v>24</v>
      </c>
      <c r="L123" s="6" t="s">
        <v>2</v>
      </c>
      <c r="M123" s="6" t="s">
        <v>37</v>
      </c>
      <c r="N123" s="6" t="str">
        <f>VLOOKUP(Table1[[#This Row],[elevator_traction_machine]],'Product inf'!A:B,2,FALSE)</f>
        <v>SP006</v>
      </c>
      <c r="O123" s="6" t="s">
        <v>3</v>
      </c>
      <c r="P123" s="6" t="s">
        <v>9</v>
      </c>
      <c r="Q123" s="6" t="s">
        <v>67</v>
      </c>
      <c r="R123" s="6" t="s">
        <v>68</v>
      </c>
      <c r="S123" s="6">
        <v>500000000</v>
      </c>
      <c r="T123" s="6">
        <v>40000000</v>
      </c>
      <c r="U123" s="6">
        <v>540000000</v>
      </c>
      <c r="V123" s="6">
        <v>485000000</v>
      </c>
      <c r="Y123" s="6">
        <v>6200000</v>
      </c>
      <c r="Z123" s="8">
        <v>45575</v>
      </c>
      <c r="AA123" s="6" t="s">
        <v>2059</v>
      </c>
    </row>
    <row r="124" spans="1:27" x14ac:dyDescent="0.25">
      <c r="A124" s="8">
        <v>45576</v>
      </c>
      <c r="B124" s="6" t="s">
        <v>206</v>
      </c>
      <c r="C124" s="6" t="s">
        <v>1513</v>
      </c>
      <c r="D124" s="6" t="s">
        <v>36</v>
      </c>
      <c r="E124" s="6" t="str">
        <f>VLOOKUP(D124,'shipping inf'!B:D,2,FALSE)</f>
        <v>TP Hồ Chí Minh</v>
      </c>
      <c r="F124" s="6" t="s">
        <v>641</v>
      </c>
      <c r="G124" s="6">
        <v>90</v>
      </c>
      <c r="H124" s="6">
        <v>2410103401</v>
      </c>
      <c r="I124" s="6" t="s">
        <v>1375</v>
      </c>
      <c r="J124" s="6">
        <v>36</v>
      </c>
      <c r="K124" s="6">
        <v>12</v>
      </c>
      <c r="L124" s="6" t="s">
        <v>2</v>
      </c>
      <c r="M124" s="6" t="s">
        <v>37</v>
      </c>
      <c r="N124" s="6" t="str">
        <f>VLOOKUP(Table1[[#This Row],[elevator_traction_machine]],'Product inf'!A:B,2,FALSE)</f>
        <v>SP006</v>
      </c>
      <c r="O124" s="6" t="s">
        <v>3</v>
      </c>
      <c r="P124" s="6" t="s">
        <v>9</v>
      </c>
      <c r="Q124" s="6" t="s">
        <v>67</v>
      </c>
      <c r="R124" s="6" t="s">
        <v>68</v>
      </c>
      <c r="S124" s="6">
        <v>609000000</v>
      </c>
      <c r="U124" s="6">
        <v>609000000</v>
      </c>
      <c r="V124" s="6">
        <v>614616000</v>
      </c>
      <c r="Y124" s="6">
        <v>7290000</v>
      </c>
      <c r="Z124" s="8">
        <v>45582</v>
      </c>
      <c r="AA124" s="6" t="s">
        <v>2080</v>
      </c>
    </row>
    <row r="125" spans="1:27" x14ac:dyDescent="0.25">
      <c r="A125" s="8">
        <v>45876</v>
      </c>
      <c r="B125" s="6" t="s">
        <v>368</v>
      </c>
      <c r="C125" s="6" t="s">
        <v>1514</v>
      </c>
      <c r="D125" s="6" t="s">
        <v>36</v>
      </c>
      <c r="E125" s="6" t="str">
        <f>VLOOKUP(D125,'shipping inf'!B:D,2,FALSE)</f>
        <v>TP Hồ Chí Minh</v>
      </c>
      <c r="F125" s="6" t="s">
        <v>642</v>
      </c>
      <c r="G125" s="6">
        <v>90</v>
      </c>
      <c r="H125" s="6">
        <v>2510103401</v>
      </c>
      <c r="I125" s="6" t="s">
        <v>1375</v>
      </c>
      <c r="J125" s="6">
        <v>24</v>
      </c>
      <c r="K125" s="6">
        <v>12</v>
      </c>
      <c r="L125" s="6" t="s">
        <v>2</v>
      </c>
      <c r="M125" s="6" t="s">
        <v>37</v>
      </c>
      <c r="N125" s="6" t="str">
        <f>VLOOKUP(Table1[[#This Row],[elevator_traction_machine]],'Product inf'!A:B,2,FALSE)</f>
        <v>SP006</v>
      </c>
      <c r="O125" s="6" t="s">
        <v>8</v>
      </c>
      <c r="P125" s="6" t="s">
        <v>9</v>
      </c>
      <c r="Q125" s="6" t="s">
        <v>67</v>
      </c>
      <c r="R125" s="6" t="s">
        <v>68</v>
      </c>
      <c r="S125" s="6">
        <v>530000000</v>
      </c>
      <c r="U125" s="6">
        <v>530000000</v>
      </c>
      <c r="V125" s="6">
        <v>522500000</v>
      </c>
      <c r="Y125" s="6">
        <v>6800000</v>
      </c>
      <c r="Z125" s="8">
        <v>45877</v>
      </c>
      <c r="AA125" s="6" t="s">
        <v>2290</v>
      </c>
    </row>
    <row r="126" spans="1:27" x14ac:dyDescent="0.25">
      <c r="A126" s="8">
        <v>45590</v>
      </c>
      <c r="B126" s="6" t="s">
        <v>217</v>
      </c>
      <c r="C126" s="6" t="s">
        <v>1515</v>
      </c>
      <c r="D126" s="6" t="s">
        <v>36</v>
      </c>
      <c r="E126" s="6" t="str">
        <f>VLOOKUP(D126,'shipping inf'!B:D,2,FALSE)</f>
        <v>TP Hồ Chí Minh</v>
      </c>
      <c r="F126" s="6" t="s">
        <v>643</v>
      </c>
      <c r="G126" s="6">
        <v>120</v>
      </c>
      <c r="H126" s="6">
        <v>2410103501</v>
      </c>
      <c r="I126" s="6" t="s">
        <v>1375</v>
      </c>
      <c r="J126" s="6">
        <v>24</v>
      </c>
      <c r="K126" s="6">
        <v>12</v>
      </c>
      <c r="L126" s="6" t="s">
        <v>2</v>
      </c>
      <c r="M126" s="6" t="s">
        <v>37</v>
      </c>
      <c r="N126" s="6" t="str">
        <f>VLOOKUP(Table1[[#This Row],[elevator_traction_machine]],'Product inf'!A:B,2,FALSE)</f>
        <v>SP006</v>
      </c>
      <c r="O126" s="6" t="s">
        <v>3</v>
      </c>
      <c r="P126" s="6" t="s">
        <v>9</v>
      </c>
      <c r="Q126" s="6" t="s">
        <v>67</v>
      </c>
      <c r="R126" s="6" t="s">
        <v>68</v>
      </c>
      <c r="S126" s="6">
        <v>332000000</v>
      </c>
      <c r="U126" s="6">
        <v>332000000</v>
      </c>
      <c r="V126" s="6">
        <v>347000000</v>
      </c>
      <c r="Y126" s="6">
        <v>4520000</v>
      </c>
      <c r="Z126" s="8">
        <v>45591</v>
      </c>
      <c r="AA126" s="6" t="s">
        <v>2080</v>
      </c>
    </row>
    <row r="127" spans="1:27" x14ac:dyDescent="0.25">
      <c r="A127" s="8">
        <v>45868</v>
      </c>
      <c r="B127" s="6" t="s">
        <v>360</v>
      </c>
      <c r="C127" s="6" t="s">
        <v>1516</v>
      </c>
      <c r="D127" s="6" t="s">
        <v>36</v>
      </c>
      <c r="E127" s="6" t="str">
        <f>VLOOKUP(D127,'shipping inf'!B:D,2,FALSE)</f>
        <v>TP Hồ Chí Minh</v>
      </c>
      <c r="F127" s="6" t="s">
        <v>644</v>
      </c>
      <c r="G127" s="6">
        <v>45</v>
      </c>
      <c r="H127" s="6">
        <v>2510103501</v>
      </c>
      <c r="I127" s="6" t="s">
        <v>1375</v>
      </c>
      <c r="J127" s="6">
        <v>24</v>
      </c>
      <c r="K127" s="6">
        <v>12</v>
      </c>
      <c r="L127" s="6" t="s">
        <v>2</v>
      </c>
      <c r="M127" s="6" t="s">
        <v>37</v>
      </c>
      <c r="N127" s="6" t="str">
        <f>VLOOKUP(Table1[[#This Row],[elevator_traction_machine]],'Product inf'!A:B,2,FALSE)</f>
        <v>SP010</v>
      </c>
      <c r="O127" s="6" t="s">
        <v>3</v>
      </c>
      <c r="P127" s="6" t="s">
        <v>9</v>
      </c>
      <c r="Q127" s="6" t="s">
        <v>254</v>
      </c>
      <c r="R127" s="6" t="s">
        <v>255</v>
      </c>
      <c r="S127" s="6">
        <v>370000000</v>
      </c>
      <c r="U127" s="6">
        <v>370000000</v>
      </c>
      <c r="V127" s="6">
        <v>394500000</v>
      </c>
      <c r="Y127" s="6">
        <v>4900000</v>
      </c>
      <c r="Z127" s="8">
        <v>45868</v>
      </c>
      <c r="AA127" s="6" t="s">
        <v>2269</v>
      </c>
    </row>
    <row r="128" spans="1:27" x14ac:dyDescent="0.25">
      <c r="A128" s="8">
        <v>45593</v>
      </c>
      <c r="B128" s="6" t="s">
        <v>221</v>
      </c>
      <c r="C128" s="6" t="s">
        <v>1517</v>
      </c>
      <c r="D128" s="6" t="s">
        <v>35</v>
      </c>
      <c r="E128" s="6" t="str">
        <f>VLOOKUP(D128,'shipping inf'!B:D,2,FALSE)</f>
        <v>TP Hồ Chí Minh</v>
      </c>
      <c r="F128" s="6" t="s">
        <v>645</v>
      </c>
      <c r="G128" s="6">
        <v>120</v>
      </c>
      <c r="H128" s="6">
        <v>2410103601</v>
      </c>
      <c r="I128" s="6" t="s">
        <v>1375</v>
      </c>
      <c r="J128" s="6">
        <v>24</v>
      </c>
      <c r="K128" s="6">
        <v>12</v>
      </c>
      <c r="L128" s="6" t="s">
        <v>2</v>
      </c>
      <c r="M128" s="6" t="s">
        <v>37</v>
      </c>
      <c r="N128" s="6" t="str">
        <f>VLOOKUP(Table1[[#This Row],[elevator_traction_machine]],'Product inf'!A:B,2,FALSE)</f>
        <v>SP006</v>
      </c>
      <c r="O128" s="6" t="s">
        <v>3</v>
      </c>
      <c r="P128" s="6" t="s">
        <v>9</v>
      </c>
      <c r="Q128" s="6" t="s">
        <v>67</v>
      </c>
      <c r="R128" s="6" t="s">
        <v>68</v>
      </c>
      <c r="S128" s="6">
        <v>357000000</v>
      </c>
      <c r="U128" s="6">
        <v>357000000</v>
      </c>
      <c r="V128" s="6">
        <v>372000000</v>
      </c>
      <c r="Y128" s="6">
        <v>4770000</v>
      </c>
      <c r="Z128" s="8">
        <v>45601</v>
      </c>
      <c r="AA128" s="6" t="s">
        <v>2080</v>
      </c>
    </row>
    <row r="129" spans="1:27" x14ac:dyDescent="0.25">
      <c r="A129" s="8">
        <v>45881</v>
      </c>
      <c r="B129" s="6" t="s">
        <v>371</v>
      </c>
      <c r="C129" s="6" t="s">
        <v>1518</v>
      </c>
      <c r="D129" s="6" t="s">
        <v>36</v>
      </c>
      <c r="E129" s="6" t="str">
        <f>VLOOKUP(D129,'shipping inf'!B:D,2,FALSE)</f>
        <v>TP Hồ Chí Minh</v>
      </c>
      <c r="F129" s="6" t="s">
        <v>646</v>
      </c>
      <c r="G129" s="6">
        <v>90</v>
      </c>
      <c r="H129" s="6">
        <v>2510103601</v>
      </c>
      <c r="I129" s="6" t="s">
        <v>1375</v>
      </c>
      <c r="J129" s="6">
        <v>24</v>
      </c>
      <c r="K129" s="6">
        <v>12</v>
      </c>
      <c r="L129" s="6" t="s">
        <v>2</v>
      </c>
      <c r="M129" s="6" t="s">
        <v>37</v>
      </c>
      <c r="N129" s="6" t="str">
        <f>VLOOKUP(Table1[[#This Row],[elevator_traction_machine]],'Product inf'!A:B,2,FALSE)</f>
        <v>SP015</v>
      </c>
      <c r="O129" s="6" t="s">
        <v>3</v>
      </c>
      <c r="P129" s="6" t="s">
        <v>9</v>
      </c>
      <c r="Q129" s="6" t="s">
        <v>70</v>
      </c>
      <c r="R129" s="6" t="s">
        <v>68</v>
      </c>
      <c r="S129" s="6">
        <v>450000000</v>
      </c>
      <c r="U129" s="6">
        <v>450000000</v>
      </c>
      <c r="V129" s="6">
        <v>483000000</v>
      </c>
      <c r="Y129" s="6">
        <v>5700000</v>
      </c>
      <c r="Z129" s="8">
        <v>45882</v>
      </c>
      <c r="AA129" s="6" t="s">
        <v>2290</v>
      </c>
    </row>
    <row r="130" spans="1:27" x14ac:dyDescent="0.25">
      <c r="A130" s="8">
        <v>45876</v>
      </c>
      <c r="B130" s="6" t="s">
        <v>367</v>
      </c>
      <c r="C130" s="6" t="s">
        <v>1519</v>
      </c>
      <c r="D130" s="6" t="s">
        <v>36</v>
      </c>
      <c r="E130" s="6" t="str">
        <f>VLOOKUP(D130,'shipping inf'!B:D,2,FALSE)</f>
        <v>TP Hồ Chí Minh</v>
      </c>
      <c r="F130" s="6" t="s">
        <v>647</v>
      </c>
      <c r="G130" s="6">
        <v>45</v>
      </c>
      <c r="H130" s="6">
        <v>2510103701</v>
      </c>
      <c r="I130" s="6" t="s">
        <v>1375</v>
      </c>
      <c r="J130" s="6">
        <v>24</v>
      </c>
      <c r="K130" s="6">
        <v>12</v>
      </c>
      <c r="L130" s="6" t="s">
        <v>2</v>
      </c>
      <c r="M130" s="6" t="s">
        <v>37</v>
      </c>
      <c r="N130" s="6" t="str">
        <f>VLOOKUP(Table1[[#This Row],[elevator_traction_machine]],'Product inf'!A:B,2,FALSE)</f>
        <v>SP006</v>
      </c>
      <c r="O130" s="6" t="s">
        <v>3</v>
      </c>
      <c r="P130" s="6" t="s">
        <v>9</v>
      </c>
      <c r="Q130" s="6" t="s">
        <v>67</v>
      </c>
      <c r="R130" s="6" t="s">
        <v>68</v>
      </c>
      <c r="S130" s="6">
        <v>350000000</v>
      </c>
      <c r="U130" s="6">
        <v>350000000</v>
      </c>
      <c r="V130" s="6">
        <v>350000000</v>
      </c>
      <c r="Y130" s="6">
        <v>5000000</v>
      </c>
      <c r="Z130" s="8">
        <v>45877</v>
      </c>
      <c r="AA130" s="6" t="s">
        <v>2290</v>
      </c>
    </row>
    <row r="131" spans="1:27" x14ac:dyDescent="0.25">
      <c r="A131" s="8">
        <v>45602</v>
      </c>
      <c r="B131" s="6" t="s">
        <v>228</v>
      </c>
      <c r="C131" s="6" t="s">
        <v>1520</v>
      </c>
      <c r="D131" s="6" t="s">
        <v>46</v>
      </c>
      <c r="E131" s="6" t="str">
        <f>VLOOKUP(D131,'shipping inf'!B:D,2,FALSE)</f>
        <v>Tây Ninh</v>
      </c>
      <c r="F131" s="6" t="s">
        <v>648</v>
      </c>
      <c r="G131" s="6">
        <v>35</v>
      </c>
      <c r="H131" s="6">
        <v>2410103801</v>
      </c>
      <c r="I131" s="6" t="s">
        <v>1375</v>
      </c>
      <c r="J131" s="6">
        <v>36</v>
      </c>
      <c r="K131" s="6">
        <v>24</v>
      </c>
      <c r="L131" s="6" t="s">
        <v>2</v>
      </c>
      <c r="M131" s="6" t="s">
        <v>37</v>
      </c>
      <c r="N131" s="6" t="str">
        <f>VLOOKUP(Table1[[#This Row],[elevator_traction_machine]],'Product inf'!A:B,2,FALSE)</f>
        <v>SP011</v>
      </c>
      <c r="O131" s="6" t="s">
        <v>3</v>
      </c>
      <c r="P131" s="6" t="s">
        <v>4</v>
      </c>
      <c r="Q131" s="6" t="s">
        <v>229</v>
      </c>
      <c r="R131" s="6" t="s">
        <v>68</v>
      </c>
      <c r="S131" s="6">
        <v>235000000</v>
      </c>
      <c r="T131" s="6">
        <v>18800000</v>
      </c>
      <c r="U131" s="6">
        <v>253800000</v>
      </c>
      <c r="V131" s="6">
        <v>253800000</v>
      </c>
      <c r="Y131" s="6">
        <v>3738000</v>
      </c>
      <c r="Z131" s="8">
        <v>45618</v>
      </c>
      <c r="AA131" s="6" t="s">
        <v>2101</v>
      </c>
    </row>
    <row r="132" spans="1:27" x14ac:dyDescent="0.25">
      <c r="A132" s="8">
        <v>45887</v>
      </c>
      <c r="B132" s="6" t="s">
        <v>373</v>
      </c>
      <c r="C132" s="6" t="s">
        <v>1521</v>
      </c>
      <c r="D132" s="6" t="s">
        <v>36</v>
      </c>
      <c r="E132" s="6" t="str">
        <f>VLOOKUP(D132,'shipping inf'!B:D,2,FALSE)</f>
        <v>TP Hồ Chí Minh</v>
      </c>
      <c r="F132" s="6" t="s">
        <v>649</v>
      </c>
      <c r="G132" s="6">
        <v>75</v>
      </c>
      <c r="H132" s="6">
        <v>2510103801</v>
      </c>
      <c r="I132" s="6" t="s">
        <v>1375</v>
      </c>
      <c r="J132" s="6">
        <v>24</v>
      </c>
      <c r="K132" s="6">
        <v>12</v>
      </c>
      <c r="L132" s="6" t="s">
        <v>2</v>
      </c>
      <c r="M132" s="6" t="s">
        <v>37</v>
      </c>
      <c r="N132" s="6" t="str">
        <f>VLOOKUP(Table1[[#This Row],[elevator_traction_machine]],'Product inf'!A:B,2,FALSE)</f>
        <v>SP006</v>
      </c>
      <c r="O132" s="6" t="s">
        <v>8</v>
      </c>
      <c r="P132" s="6" t="s">
        <v>9</v>
      </c>
      <c r="Q132" s="6" t="s">
        <v>67</v>
      </c>
      <c r="R132" s="6" t="s">
        <v>68</v>
      </c>
      <c r="S132" s="6">
        <v>450000000</v>
      </c>
      <c r="U132" s="6">
        <v>450000000</v>
      </c>
      <c r="V132" s="6">
        <v>445000000</v>
      </c>
      <c r="Y132" s="6">
        <v>6000000</v>
      </c>
      <c r="Z132" s="8">
        <v>45890</v>
      </c>
      <c r="AA132" s="6" t="s">
        <v>2290</v>
      </c>
    </row>
    <row r="133" spans="1:27" x14ac:dyDescent="0.25">
      <c r="A133" s="8">
        <v>45635</v>
      </c>
      <c r="B133" s="6" t="s">
        <v>238</v>
      </c>
      <c r="C133" s="6" t="s">
        <v>1522</v>
      </c>
      <c r="D133" s="6" t="s">
        <v>36</v>
      </c>
      <c r="E133" s="6" t="str">
        <f>VLOOKUP(D133,'shipping inf'!B:D,2,FALSE)</f>
        <v>TP Hồ Chí Minh</v>
      </c>
      <c r="F133" s="6" t="s">
        <v>542</v>
      </c>
      <c r="G133" s="6">
        <v>120</v>
      </c>
      <c r="H133" s="6">
        <v>2410103901</v>
      </c>
      <c r="I133" s="6" t="s">
        <v>1375</v>
      </c>
      <c r="J133" s="6">
        <v>24</v>
      </c>
      <c r="K133" s="6">
        <v>12</v>
      </c>
      <c r="L133" s="6" t="s">
        <v>2</v>
      </c>
      <c r="M133" s="6" t="s">
        <v>37</v>
      </c>
      <c r="N133" s="6" t="str">
        <f>VLOOKUP(Table1[[#This Row],[elevator_traction_machine]],'Product inf'!A:B,2,FALSE)</f>
        <v>SP008</v>
      </c>
      <c r="O133" s="6" t="s">
        <v>3</v>
      </c>
      <c r="P133" s="6" t="s">
        <v>9</v>
      </c>
      <c r="Q133" s="6" t="s">
        <v>132</v>
      </c>
      <c r="R133" s="6" t="s">
        <v>68</v>
      </c>
      <c r="S133" s="6">
        <v>330000000</v>
      </c>
      <c r="U133" s="6">
        <v>330000000</v>
      </c>
      <c r="V133" s="6">
        <v>347000000</v>
      </c>
      <c r="X133" s="6">
        <v>2500000</v>
      </c>
      <c r="Y133" s="6">
        <v>4500000</v>
      </c>
      <c r="Z133" s="8">
        <v>45640</v>
      </c>
      <c r="AA133" s="6" t="s">
        <v>2122</v>
      </c>
    </row>
    <row r="134" spans="1:27" x14ac:dyDescent="0.25">
      <c r="A134" s="8">
        <v>45635</v>
      </c>
      <c r="B134" s="6" t="s">
        <v>239</v>
      </c>
      <c r="C134" s="6" t="s">
        <v>1523</v>
      </c>
      <c r="D134" s="6" t="s">
        <v>36</v>
      </c>
      <c r="E134" s="6" t="str">
        <f>VLOOKUP(D134,'shipping inf'!B:D,2,FALSE)</f>
        <v>TP Hồ Chí Minh</v>
      </c>
      <c r="F134" s="6" t="s">
        <v>650</v>
      </c>
      <c r="G134" s="6">
        <v>120</v>
      </c>
      <c r="H134" s="6">
        <v>2410104001</v>
      </c>
      <c r="I134" s="6" t="s">
        <v>1375</v>
      </c>
      <c r="J134" s="6">
        <v>24</v>
      </c>
      <c r="K134" s="6">
        <v>12</v>
      </c>
      <c r="L134" s="6" t="s">
        <v>2</v>
      </c>
      <c r="M134" s="6" t="s">
        <v>37</v>
      </c>
      <c r="N134" s="6" t="str">
        <f>VLOOKUP(Table1[[#This Row],[elevator_traction_machine]],'Product inf'!A:B,2,FALSE)</f>
        <v>SP008</v>
      </c>
      <c r="O134" s="6" t="s">
        <v>3</v>
      </c>
      <c r="P134" s="6" t="s">
        <v>9</v>
      </c>
      <c r="Q134" s="6" t="s">
        <v>132</v>
      </c>
      <c r="R134" s="6" t="s">
        <v>68</v>
      </c>
      <c r="S134" s="6">
        <v>330000000</v>
      </c>
      <c r="U134" s="6">
        <v>330000000</v>
      </c>
      <c r="V134" s="6">
        <v>347000000</v>
      </c>
      <c r="X134" s="6">
        <v>2500000</v>
      </c>
      <c r="Y134" s="6">
        <v>4500000</v>
      </c>
      <c r="Z134" s="8">
        <v>45640</v>
      </c>
      <c r="AA134" s="6" t="s">
        <v>2122</v>
      </c>
    </row>
    <row r="135" spans="1:27" x14ac:dyDescent="0.25">
      <c r="A135" s="8">
        <v>45888</v>
      </c>
      <c r="B135" s="6" t="s">
        <v>375</v>
      </c>
      <c r="C135" s="6" t="s">
        <v>1524</v>
      </c>
      <c r="D135" s="6" t="s">
        <v>36</v>
      </c>
      <c r="E135" s="6" t="str">
        <f>VLOOKUP(D135,'shipping inf'!B:D,2,FALSE)</f>
        <v>TP Hồ Chí Minh</v>
      </c>
      <c r="F135" s="6" t="s">
        <v>651</v>
      </c>
      <c r="G135" s="6">
        <v>120</v>
      </c>
      <c r="H135" s="6">
        <v>2510104001</v>
      </c>
      <c r="I135" s="6" t="s">
        <v>1375</v>
      </c>
      <c r="J135" s="6">
        <v>24</v>
      </c>
      <c r="K135" s="6">
        <v>12</v>
      </c>
      <c r="L135" s="6" t="s">
        <v>2</v>
      </c>
      <c r="M135" s="6" t="s">
        <v>37</v>
      </c>
      <c r="N135" s="6" t="str">
        <f>VLOOKUP(Table1[[#This Row],[elevator_traction_machine]],'Product inf'!A:B,2,FALSE)</f>
        <v>SP006</v>
      </c>
      <c r="O135" s="6" t="s">
        <v>8</v>
      </c>
      <c r="P135" s="6" t="s">
        <v>9</v>
      </c>
      <c r="Q135" s="6" t="s">
        <v>67</v>
      </c>
      <c r="R135" s="6" t="s">
        <v>68</v>
      </c>
      <c r="S135" s="6">
        <v>510000000</v>
      </c>
      <c r="U135" s="6">
        <v>510000000</v>
      </c>
      <c r="V135" s="6">
        <v>522500000</v>
      </c>
      <c r="X135" s="6">
        <v>10000000</v>
      </c>
      <c r="Y135" s="6">
        <v>6300000</v>
      </c>
      <c r="Z135" s="8">
        <v>45891</v>
      </c>
      <c r="AA135" s="6" t="s">
        <v>2290</v>
      </c>
    </row>
    <row r="136" spans="1:27" x14ac:dyDescent="0.25">
      <c r="A136" s="8">
        <v>45635</v>
      </c>
      <c r="B136" s="6" t="s">
        <v>242</v>
      </c>
      <c r="C136" s="6" t="s">
        <v>1525</v>
      </c>
      <c r="D136" s="6" t="s">
        <v>36</v>
      </c>
      <c r="E136" s="6" t="str">
        <f>VLOOKUP(D136,'shipping inf'!B:D,2,FALSE)</f>
        <v>TP Hồ Chí Minh</v>
      </c>
      <c r="F136" s="6" t="s">
        <v>652</v>
      </c>
      <c r="G136" s="6">
        <v>90</v>
      </c>
      <c r="H136" s="6">
        <v>2410104101</v>
      </c>
      <c r="I136" s="6" t="s">
        <v>1375</v>
      </c>
      <c r="J136" s="6">
        <v>24</v>
      </c>
      <c r="K136" s="6">
        <v>12</v>
      </c>
      <c r="L136" s="6" t="s">
        <v>2</v>
      </c>
      <c r="M136" s="6" t="s">
        <v>37</v>
      </c>
      <c r="N136" s="6" t="str">
        <f>VLOOKUP(Table1[[#This Row],[elevator_traction_machine]],'Product inf'!A:B,2,FALSE)</f>
        <v>SP009</v>
      </c>
      <c r="O136" s="6" t="s">
        <v>8</v>
      </c>
      <c r="P136" s="6" t="s">
        <v>9</v>
      </c>
      <c r="Q136" s="6" t="s">
        <v>82</v>
      </c>
      <c r="R136" s="6" t="s">
        <v>68</v>
      </c>
      <c r="S136" s="6">
        <v>348000000</v>
      </c>
      <c r="U136" s="6">
        <v>348000000</v>
      </c>
      <c r="V136" s="6">
        <v>361000000</v>
      </c>
      <c r="Y136" s="6">
        <v>4680000</v>
      </c>
      <c r="Z136" s="8">
        <v>45646</v>
      </c>
      <c r="AA136" s="6" t="s">
        <v>2122</v>
      </c>
    </row>
    <row r="137" spans="1:27" x14ac:dyDescent="0.25">
      <c r="A137" s="8">
        <v>45896</v>
      </c>
      <c r="B137" s="6" t="s">
        <v>378</v>
      </c>
      <c r="C137" s="6" t="s">
        <v>1526</v>
      </c>
      <c r="D137" s="6" t="s">
        <v>36</v>
      </c>
      <c r="E137" s="6" t="str">
        <f>VLOOKUP(D137,'shipping inf'!B:D,2,FALSE)</f>
        <v>TP Hồ Chí Minh</v>
      </c>
      <c r="F137" s="6" t="s">
        <v>653</v>
      </c>
      <c r="G137" s="6">
        <v>75</v>
      </c>
      <c r="H137" s="6">
        <v>2510104101</v>
      </c>
      <c r="I137" s="6" t="s">
        <v>1375</v>
      </c>
      <c r="J137" s="6">
        <v>24</v>
      </c>
      <c r="K137" s="6">
        <v>12</v>
      </c>
      <c r="L137" s="6" t="s">
        <v>2</v>
      </c>
      <c r="M137" s="6" t="s">
        <v>37</v>
      </c>
      <c r="N137" s="6" t="str">
        <f>VLOOKUP(Table1[[#This Row],[elevator_traction_machine]],'Product inf'!A:B,2,FALSE)</f>
        <v>SP015</v>
      </c>
      <c r="O137" s="6" t="s">
        <v>3</v>
      </c>
      <c r="P137" s="6" t="s">
        <v>9</v>
      </c>
      <c r="Q137" s="6" t="s">
        <v>70</v>
      </c>
      <c r="R137" s="6" t="s">
        <v>68</v>
      </c>
      <c r="S137" s="6">
        <v>520000000</v>
      </c>
      <c r="U137" s="6">
        <v>520000000</v>
      </c>
      <c r="V137" s="6">
        <v>567500000</v>
      </c>
      <c r="Y137" s="6">
        <v>6400000</v>
      </c>
      <c r="Z137" s="8">
        <v>45896</v>
      </c>
      <c r="AA137" s="6" t="s">
        <v>2290</v>
      </c>
    </row>
    <row r="138" spans="1:27" x14ac:dyDescent="0.25">
      <c r="A138" s="8">
        <v>45651</v>
      </c>
      <c r="B138" s="6" t="s">
        <v>880</v>
      </c>
      <c r="C138" s="6" t="s">
        <v>1527</v>
      </c>
      <c r="D138" s="6" t="s">
        <v>36</v>
      </c>
      <c r="E138" s="6" t="str">
        <f>VLOOKUP(D138,'shipping inf'!B:D,2,FALSE)</f>
        <v>TP Hồ Chí Minh</v>
      </c>
      <c r="F138" s="6" t="s">
        <v>654</v>
      </c>
      <c r="G138" s="6">
        <v>90</v>
      </c>
      <c r="H138" s="6">
        <v>2410104201</v>
      </c>
      <c r="I138" s="6" t="s">
        <v>1375</v>
      </c>
      <c r="J138" s="6">
        <v>24</v>
      </c>
      <c r="K138" s="6">
        <v>12</v>
      </c>
      <c r="L138" s="6" t="s">
        <v>2</v>
      </c>
      <c r="M138" s="6" t="s">
        <v>37</v>
      </c>
      <c r="N138" s="6" t="str">
        <f>VLOOKUP(Table1[[#This Row],[elevator_traction_machine]],'Product inf'!A:B,2,FALSE)</f>
        <v>SP006</v>
      </c>
      <c r="O138" s="6" t="s">
        <v>3</v>
      </c>
      <c r="P138" s="6" t="s">
        <v>9</v>
      </c>
      <c r="Q138" s="6" t="s">
        <v>67</v>
      </c>
      <c r="R138" s="6" t="s">
        <v>68</v>
      </c>
      <c r="S138" s="6">
        <v>488500000</v>
      </c>
      <c r="T138" s="6">
        <v>48850000</v>
      </c>
      <c r="U138" s="6">
        <v>537350000</v>
      </c>
      <c r="V138" s="6">
        <v>476500000</v>
      </c>
      <c r="X138" s="6">
        <v>5000000</v>
      </c>
      <c r="Y138" s="6">
        <v>6873500</v>
      </c>
      <c r="Z138" s="8">
        <v>45651</v>
      </c>
      <c r="AA138" s="6" t="s">
        <v>2122</v>
      </c>
    </row>
    <row r="139" spans="1:27" x14ac:dyDescent="0.25">
      <c r="A139" s="8">
        <v>45929</v>
      </c>
      <c r="B139" s="6" t="s">
        <v>390</v>
      </c>
      <c r="C139" s="6" t="s">
        <v>1528</v>
      </c>
      <c r="D139" s="6" t="s">
        <v>36</v>
      </c>
      <c r="E139" s="6" t="str">
        <f>VLOOKUP(D139,'shipping inf'!B:D,2,FALSE)</f>
        <v>TP Hồ Chí Minh</v>
      </c>
      <c r="F139" s="6" t="s">
        <v>655</v>
      </c>
      <c r="G139" s="6">
        <v>75</v>
      </c>
      <c r="H139" s="6">
        <v>2510104201</v>
      </c>
      <c r="I139" s="6" t="s">
        <v>1375</v>
      </c>
      <c r="J139" s="6">
        <v>24</v>
      </c>
      <c r="K139" s="6">
        <v>12</v>
      </c>
      <c r="L139" s="6" t="s">
        <v>2</v>
      </c>
      <c r="M139" s="6" t="s">
        <v>37</v>
      </c>
      <c r="N139" s="6" t="str">
        <f>VLOOKUP(Table1[[#This Row],[elevator_traction_machine]],'Product inf'!A:B,2,FALSE)</f>
        <v>SP006</v>
      </c>
      <c r="O139" s="6" t="s">
        <v>8</v>
      </c>
      <c r="P139" s="6" t="s">
        <v>9</v>
      </c>
      <c r="Q139" s="6" t="s">
        <v>67</v>
      </c>
      <c r="R139" s="6" t="s">
        <v>267</v>
      </c>
      <c r="S139" s="6">
        <v>410000000</v>
      </c>
      <c r="U139" s="6">
        <v>410000000</v>
      </c>
      <c r="V139" s="6">
        <v>419200000</v>
      </c>
      <c r="Y139" s="6">
        <v>5300000</v>
      </c>
      <c r="Z139" s="8">
        <v>45929</v>
      </c>
      <c r="AA139" s="6" t="s">
        <v>2311</v>
      </c>
    </row>
    <row r="140" spans="1:27" x14ac:dyDescent="0.25">
      <c r="A140" s="8">
        <v>45908</v>
      </c>
      <c r="B140" s="6" t="s">
        <v>386</v>
      </c>
      <c r="C140" s="6" t="s">
        <v>1529</v>
      </c>
      <c r="D140" s="6" t="s">
        <v>36</v>
      </c>
      <c r="E140" s="6" t="str">
        <f>VLOOKUP(D140,'shipping inf'!B:D,2,FALSE)</f>
        <v>TP Hồ Chí Minh</v>
      </c>
      <c r="F140" s="6" t="s">
        <v>656</v>
      </c>
      <c r="G140" s="6">
        <v>50</v>
      </c>
      <c r="H140" s="6">
        <v>2510104301</v>
      </c>
      <c r="I140" s="6" t="s">
        <v>1375</v>
      </c>
      <c r="J140" s="6">
        <v>24</v>
      </c>
      <c r="K140" s="6">
        <v>12</v>
      </c>
      <c r="L140" s="6" t="s">
        <v>2</v>
      </c>
      <c r="M140" s="6" t="s">
        <v>37</v>
      </c>
      <c r="N140" s="6" t="str">
        <f>VLOOKUP(Table1[[#This Row],[elevator_traction_machine]],'Product inf'!A:B,2,FALSE)</f>
        <v>SP010</v>
      </c>
      <c r="O140" s="6" t="s">
        <v>8</v>
      </c>
      <c r="P140" s="6" t="s">
        <v>9</v>
      </c>
      <c r="Q140" s="6" t="s">
        <v>254</v>
      </c>
      <c r="R140" s="6" t="s">
        <v>255</v>
      </c>
      <c r="S140" s="6">
        <v>430000000</v>
      </c>
      <c r="U140" s="6">
        <v>430000000</v>
      </c>
      <c r="V140" s="6">
        <v>418000000</v>
      </c>
      <c r="Y140" s="6">
        <v>5800000</v>
      </c>
      <c r="Z140" s="8">
        <v>45908</v>
      </c>
      <c r="AA140" s="6" t="s">
        <v>2311</v>
      </c>
    </row>
    <row r="141" spans="1:27" x14ac:dyDescent="0.25">
      <c r="A141" s="8">
        <v>45929</v>
      </c>
      <c r="B141" s="6" t="s">
        <v>391</v>
      </c>
      <c r="C141" s="6" t="s">
        <v>1530</v>
      </c>
      <c r="D141" s="6" t="s">
        <v>36</v>
      </c>
      <c r="E141" s="6" t="str">
        <f>VLOOKUP(D141,'shipping inf'!B:D,2,FALSE)</f>
        <v>TP Hồ Chí Minh</v>
      </c>
      <c r="F141" s="6" t="s">
        <v>657</v>
      </c>
      <c r="G141" s="6">
        <v>90</v>
      </c>
      <c r="H141" s="6">
        <v>2510104401</v>
      </c>
      <c r="I141" s="6" t="s">
        <v>1375</v>
      </c>
      <c r="J141" s="6">
        <v>24</v>
      </c>
      <c r="K141" s="6">
        <v>12</v>
      </c>
      <c r="L141" s="6" t="s">
        <v>2</v>
      </c>
      <c r="M141" s="6" t="s">
        <v>37</v>
      </c>
      <c r="N141" s="6" t="str">
        <f>VLOOKUP(Table1[[#This Row],[elevator_traction_machine]],'Product inf'!A:B,2,FALSE)</f>
        <v>SP006</v>
      </c>
      <c r="O141" s="6" t="s">
        <v>3</v>
      </c>
      <c r="P141" s="6" t="s">
        <v>9</v>
      </c>
      <c r="Q141" s="6" t="s">
        <v>67</v>
      </c>
      <c r="R141" s="6" t="s">
        <v>68</v>
      </c>
      <c r="S141" s="6">
        <v>790000000</v>
      </c>
      <c r="U141" s="6">
        <v>790000000</v>
      </c>
      <c r="V141" s="6">
        <v>766090000</v>
      </c>
      <c r="Y141" s="6">
        <v>9400000</v>
      </c>
      <c r="Z141" s="8">
        <v>45929</v>
      </c>
      <c r="AA141" s="6" t="s">
        <v>2311</v>
      </c>
    </row>
    <row r="142" spans="1:27" x14ac:dyDescent="0.25">
      <c r="A142" s="8">
        <v>45923</v>
      </c>
      <c r="B142" s="6" t="s">
        <v>389</v>
      </c>
      <c r="C142" s="6" t="s">
        <v>1531</v>
      </c>
      <c r="D142" s="6" t="s">
        <v>36</v>
      </c>
      <c r="E142" s="6" t="str">
        <f>VLOOKUP(D142,'shipping inf'!B:D,2,FALSE)</f>
        <v>TP Hồ Chí Minh</v>
      </c>
      <c r="F142" s="6" t="s">
        <v>658</v>
      </c>
      <c r="G142" s="6">
        <v>75</v>
      </c>
      <c r="H142" s="6">
        <v>2510104501</v>
      </c>
      <c r="I142" s="6" t="s">
        <v>1375</v>
      </c>
      <c r="J142" s="6">
        <v>24</v>
      </c>
      <c r="K142" s="6">
        <v>12</v>
      </c>
      <c r="L142" s="6" t="s">
        <v>2</v>
      </c>
      <c r="M142" s="6" t="s">
        <v>37</v>
      </c>
      <c r="N142" s="6" t="str">
        <f>VLOOKUP(Table1[[#This Row],[elevator_traction_machine]],'Product inf'!A:B,2,FALSE)</f>
        <v>SP006</v>
      </c>
      <c r="O142" s="6" t="s">
        <v>8</v>
      </c>
      <c r="P142" s="6" t="s">
        <v>9</v>
      </c>
      <c r="Q142" s="6" t="s">
        <v>67</v>
      </c>
      <c r="R142" s="6" t="s">
        <v>68</v>
      </c>
      <c r="S142" s="6">
        <v>526700000</v>
      </c>
      <c r="U142" s="6">
        <v>526700000</v>
      </c>
      <c r="V142" s="6">
        <v>515800000</v>
      </c>
      <c r="Y142" s="6">
        <v>6767000</v>
      </c>
      <c r="Z142" s="8">
        <v>45924</v>
      </c>
      <c r="AA142" s="6" t="s">
        <v>2311</v>
      </c>
    </row>
    <row r="143" spans="1:27" x14ac:dyDescent="0.25">
      <c r="A143" s="8">
        <v>45939</v>
      </c>
      <c r="B143" s="6" t="s">
        <v>413</v>
      </c>
      <c r="C143" s="6" t="s">
        <v>1532</v>
      </c>
      <c r="D143" s="6" t="s">
        <v>36</v>
      </c>
      <c r="E143" s="6" t="str">
        <f>VLOOKUP(D143,'shipping inf'!B:D,2,FALSE)</f>
        <v>TP Hồ Chí Minh</v>
      </c>
      <c r="F143" s="6" t="s">
        <v>659</v>
      </c>
      <c r="G143" s="6">
        <v>90</v>
      </c>
      <c r="H143" s="6">
        <v>2510104601</v>
      </c>
      <c r="I143" s="6" t="s">
        <v>1375</v>
      </c>
      <c r="J143" s="6">
        <v>24</v>
      </c>
      <c r="K143" s="6">
        <v>24</v>
      </c>
      <c r="L143" s="6" t="s">
        <v>2</v>
      </c>
      <c r="M143" s="6" t="s">
        <v>37</v>
      </c>
      <c r="N143" s="6" t="str">
        <f>VLOOKUP(Table1[[#This Row],[elevator_traction_machine]],'Product inf'!A:B,2,FALSE)</f>
        <v>SP006</v>
      </c>
      <c r="O143" s="6" t="s">
        <v>3</v>
      </c>
      <c r="P143" s="6" t="s">
        <v>9</v>
      </c>
      <c r="Q143" s="6" t="s">
        <v>67</v>
      </c>
      <c r="R143" s="6" t="s">
        <v>68</v>
      </c>
      <c r="S143" s="6">
        <v>600000000</v>
      </c>
      <c r="T143" s="6">
        <v>48000000</v>
      </c>
      <c r="U143" s="6">
        <v>648000000</v>
      </c>
      <c r="V143" s="6">
        <v>453000000</v>
      </c>
      <c r="Y143" s="6">
        <v>7680000</v>
      </c>
      <c r="Z143" s="8">
        <v>45945</v>
      </c>
      <c r="AA143" s="6" t="s">
        <v>2332</v>
      </c>
    </row>
    <row r="144" spans="1:27" x14ac:dyDescent="0.25">
      <c r="A144" s="8">
        <v>45958</v>
      </c>
      <c r="B144" s="6" t="s">
        <v>427</v>
      </c>
      <c r="C144" s="6" t="s">
        <v>1533</v>
      </c>
      <c r="D144" s="6" t="s">
        <v>36</v>
      </c>
      <c r="E144" s="6" t="str">
        <f>VLOOKUP(D144,'shipping inf'!B:D,2,FALSE)</f>
        <v>TP Hồ Chí Minh</v>
      </c>
      <c r="F144" s="6" t="s">
        <v>548</v>
      </c>
      <c r="G144" s="6">
        <v>60</v>
      </c>
      <c r="H144" s="6">
        <v>2510104701</v>
      </c>
      <c r="I144" s="6" t="s">
        <v>1375</v>
      </c>
      <c r="J144" s="6">
        <v>24</v>
      </c>
      <c r="K144" s="6">
        <v>12</v>
      </c>
      <c r="L144" s="6" t="s">
        <v>2</v>
      </c>
      <c r="M144" s="6" t="s">
        <v>37</v>
      </c>
      <c r="N144" s="6" t="str">
        <f>VLOOKUP(Table1[[#This Row],[elevator_traction_machine]],'Product inf'!A:B,2,FALSE)</f>
        <v>SP006</v>
      </c>
      <c r="O144" s="6" t="s">
        <v>3</v>
      </c>
      <c r="P144" s="6" t="s">
        <v>9</v>
      </c>
      <c r="Q144" s="6" t="s">
        <v>67</v>
      </c>
      <c r="R144" s="6" t="s">
        <v>68</v>
      </c>
      <c r="S144" s="6">
        <v>420000000</v>
      </c>
      <c r="U144" s="6">
        <v>420000000</v>
      </c>
      <c r="V144" s="6">
        <v>407200000</v>
      </c>
      <c r="Y144" s="6">
        <v>5700000</v>
      </c>
      <c r="Z144" s="8">
        <v>45958</v>
      </c>
      <c r="AA144" s="6" t="s">
        <v>2332</v>
      </c>
    </row>
    <row r="145" spans="1:27" x14ac:dyDescent="0.25">
      <c r="A145" s="8">
        <v>45938</v>
      </c>
      <c r="B145" s="6" t="s">
        <v>405</v>
      </c>
      <c r="C145" s="6" t="s">
        <v>1534</v>
      </c>
      <c r="D145" s="6" t="s">
        <v>36</v>
      </c>
      <c r="E145" s="6" t="str">
        <f>VLOOKUP(D145,'shipping inf'!B:D,2,FALSE)</f>
        <v>TP Hồ Chí Minh</v>
      </c>
      <c r="F145" s="6" t="s">
        <v>660</v>
      </c>
      <c r="G145" s="6">
        <v>40</v>
      </c>
      <c r="H145" s="6">
        <v>2510104801</v>
      </c>
      <c r="I145" s="6" t="s">
        <v>1375</v>
      </c>
      <c r="J145" s="6">
        <v>24</v>
      </c>
      <c r="K145" s="6">
        <v>12</v>
      </c>
      <c r="L145" s="6" t="s">
        <v>2</v>
      </c>
      <c r="M145" s="6" t="s">
        <v>37</v>
      </c>
      <c r="N145" s="6" t="str">
        <f>VLOOKUP(Table1[[#This Row],[elevator_traction_machine]],'Product inf'!A:B,2,FALSE)</f>
        <v>SP012</v>
      </c>
      <c r="O145" s="6" t="s">
        <v>3</v>
      </c>
      <c r="P145" s="6" t="s">
        <v>9</v>
      </c>
      <c r="Q145" s="6" t="s">
        <v>406</v>
      </c>
      <c r="R145" s="6" t="s">
        <v>407</v>
      </c>
      <c r="S145" s="6">
        <v>260000000</v>
      </c>
      <c r="U145" s="6">
        <v>260000000</v>
      </c>
      <c r="V145" s="6">
        <v>260000000</v>
      </c>
      <c r="Y145" s="6">
        <v>4100000</v>
      </c>
      <c r="Z145" s="8">
        <v>45938</v>
      </c>
      <c r="AA145" s="6" t="s">
        <v>2332</v>
      </c>
    </row>
    <row r="146" spans="1:27" x14ac:dyDescent="0.25">
      <c r="A146" s="8">
        <v>45939</v>
      </c>
      <c r="B146" s="6" t="s">
        <v>411</v>
      </c>
      <c r="C146" s="6" t="s">
        <v>1535</v>
      </c>
      <c r="D146" s="6" t="s">
        <v>36</v>
      </c>
      <c r="E146" s="6" t="str">
        <f>VLOOKUP(D146,'shipping inf'!B:D,2,FALSE)</f>
        <v>TP Hồ Chí Minh</v>
      </c>
      <c r="F146" s="6" t="s">
        <v>661</v>
      </c>
      <c r="G146" s="6">
        <v>45</v>
      </c>
      <c r="H146" s="6">
        <v>2510104901</v>
      </c>
      <c r="I146" s="6" t="s">
        <v>1375</v>
      </c>
      <c r="J146" s="6">
        <v>24</v>
      </c>
      <c r="K146" s="6">
        <v>12</v>
      </c>
      <c r="L146" s="6" t="s">
        <v>2</v>
      </c>
      <c r="M146" s="6" t="s">
        <v>37</v>
      </c>
      <c r="N146" s="6" t="str">
        <f>VLOOKUP(Table1[[#This Row],[elevator_traction_machine]],'Product inf'!A:B,2,FALSE)</f>
        <v>SP006</v>
      </c>
      <c r="O146" s="6" t="s">
        <v>3</v>
      </c>
      <c r="P146" s="6" t="s">
        <v>9</v>
      </c>
      <c r="Q146" s="6" t="s">
        <v>67</v>
      </c>
      <c r="R146" s="6" t="s">
        <v>267</v>
      </c>
      <c r="S146" s="6">
        <v>500000000</v>
      </c>
      <c r="T146" s="6">
        <v>40000000</v>
      </c>
      <c r="U146" s="6">
        <v>540000000</v>
      </c>
      <c r="V146" s="6">
        <v>498000000</v>
      </c>
      <c r="Y146" s="6">
        <v>6900000</v>
      </c>
      <c r="Z146" s="8">
        <v>45941</v>
      </c>
      <c r="AA146" s="6" t="s">
        <v>2332</v>
      </c>
    </row>
    <row r="147" spans="1:27" x14ac:dyDescent="0.25">
      <c r="A147" s="8">
        <v>45958</v>
      </c>
      <c r="B147" s="6" t="s">
        <v>434</v>
      </c>
      <c r="C147" s="6" t="s">
        <v>1536</v>
      </c>
      <c r="D147" s="6" t="s">
        <v>36</v>
      </c>
      <c r="E147" s="6" t="str">
        <f>VLOOKUP(D147,'shipping inf'!B:D,2,FALSE)</f>
        <v>TP Hồ Chí Minh</v>
      </c>
      <c r="F147" s="6" t="s">
        <v>662</v>
      </c>
      <c r="G147" s="6">
        <v>75</v>
      </c>
      <c r="H147" s="6">
        <v>2510100501</v>
      </c>
      <c r="I147" s="6" t="s">
        <v>1375</v>
      </c>
      <c r="J147" s="6">
        <v>24</v>
      </c>
      <c r="K147" s="6">
        <v>12</v>
      </c>
      <c r="L147" s="6" t="s">
        <v>2</v>
      </c>
      <c r="M147" s="6" t="s">
        <v>37</v>
      </c>
      <c r="N147" s="6" t="str">
        <f>VLOOKUP(Table1[[#This Row],[elevator_traction_machine]],'Product inf'!A:B,2,FALSE)</f>
        <v>SP006</v>
      </c>
      <c r="O147" s="6" t="s">
        <v>3</v>
      </c>
      <c r="P147" s="6" t="s">
        <v>9</v>
      </c>
      <c r="Q147" s="6" t="s">
        <v>67</v>
      </c>
      <c r="R147" s="6" t="s">
        <v>68</v>
      </c>
      <c r="S147" s="6">
        <v>449000000</v>
      </c>
      <c r="U147" s="6">
        <v>449000000</v>
      </c>
      <c r="V147" s="6">
        <v>437940000</v>
      </c>
      <c r="Y147" s="6">
        <v>5990000</v>
      </c>
      <c r="Z147" s="8">
        <v>45966</v>
      </c>
      <c r="AA147" s="6" t="s">
        <v>2332</v>
      </c>
    </row>
    <row r="148" spans="1:27" x14ac:dyDescent="0.25">
      <c r="A148" s="8">
        <v>45477</v>
      </c>
      <c r="B148" s="6" t="s">
        <v>141</v>
      </c>
      <c r="C148" s="6" t="s">
        <v>1537</v>
      </c>
      <c r="D148" s="6" t="s">
        <v>36</v>
      </c>
      <c r="E148" s="6" t="str">
        <f>VLOOKUP(D148,'shipping inf'!B:D,2,FALSE)</f>
        <v>TP Hồ Chí Minh</v>
      </c>
      <c r="F148" s="6" t="s">
        <v>663</v>
      </c>
      <c r="G148" s="6">
        <v>60</v>
      </c>
      <c r="H148" s="6">
        <v>2411500101</v>
      </c>
      <c r="I148" s="6" t="s">
        <v>1364</v>
      </c>
      <c r="J148" s="6">
        <v>24</v>
      </c>
      <c r="K148" s="6">
        <v>24</v>
      </c>
      <c r="L148" s="6" t="s">
        <v>15</v>
      </c>
      <c r="M148" s="6" t="s">
        <v>37</v>
      </c>
      <c r="N148" s="6" t="str">
        <f>VLOOKUP(Table1[[#This Row],[elevator_traction_machine]],'Product inf'!A:B,2,FALSE)</f>
        <v>SP015</v>
      </c>
      <c r="O148" s="6" t="s">
        <v>8</v>
      </c>
      <c r="P148" s="6" t="s">
        <v>9</v>
      </c>
      <c r="Q148" s="6" t="s">
        <v>70</v>
      </c>
      <c r="R148" s="6" t="s">
        <v>68</v>
      </c>
      <c r="S148" s="6">
        <v>493000000</v>
      </c>
      <c r="U148" s="6">
        <v>493000000</v>
      </c>
      <c r="V148" s="6">
        <v>501400000</v>
      </c>
      <c r="X148" s="6">
        <v>10000000</v>
      </c>
      <c r="Y148" s="6">
        <v>6000000</v>
      </c>
      <c r="Z148" s="8">
        <v>45478</v>
      </c>
      <c r="AA148" s="6" t="s">
        <v>2006</v>
      </c>
    </row>
    <row r="149" spans="1:27" x14ac:dyDescent="0.25">
      <c r="A149" s="8">
        <v>45724</v>
      </c>
      <c r="B149" s="6" t="s">
        <v>268</v>
      </c>
      <c r="C149" s="6" t="s">
        <v>1538</v>
      </c>
      <c r="D149" s="6" t="s">
        <v>36</v>
      </c>
      <c r="E149" s="6" t="str">
        <f>VLOOKUP(D149,'shipping inf'!B:D,2,FALSE)</f>
        <v>TP Hồ Chí Minh</v>
      </c>
      <c r="F149" s="6" t="s">
        <v>664</v>
      </c>
      <c r="G149" s="6">
        <v>180</v>
      </c>
      <c r="H149" s="6">
        <v>2511500101</v>
      </c>
      <c r="I149" s="6" t="s">
        <v>1364</v>
      </c>
      <c r="J149" s="6">
        <v>24</v>
      </c>
      <c r="K149" s="6">
        <v>24</v>
      </c>
      <c r="L149" s="6" t="s">
        <v>15</v>
      </c>
      <c r="M149" s="6" t="s">
        <v>37</v>
      </c>
      <c r="N149" s="6" t="str">
        <f>VLOOKUP(Table1[[#This Row],[elevator_traction_machine]],'Product inf'!A:B,2,FALSE)</f>
        <v>SP010</v>
      </c>
      <c r="O149" s="6" t="s">
        <v>3</v>
      </c>
      <c r="P149" s="6" t="s">
        <v>9</v>
      </c>
      <c r="Q149" s="6" t="s">
        <v>254</v>
      </c>
      <c r="R149" s="6" t="s">
        <v>255</v>
      </c>
      <c r="S149" s="6">
        <v>380000000</v>
      </c>
      <c r="U149" s="6">
        <v>380000000</v>
      </c>
      <c r="V149" s="6">
        <v>398639000</v>
      </c>
      <c r="X149" s="6">
        <v>10000000</v>
      </c>
      <c r="Y149" s="6">
        <v>6000000</v>
      </c>
      <c r="Z149" s="8">
        <v>45726</v>
      </c>
      <c r="AA149" s="6" t="s">
        <v>2174</v>
      </c>
    </row>
    <row r="150" spans="1:27" x14ac:dyDescent="0.25">
      <c r="A150" s="8">
        <v>46053</v>
      </c>
      <c r="B150" s="6" t="s">
        <v>479</v>
      </c>
      <c r="C150" s="6" t="s">
        <v>1539</v>
      </c>
      <c r="D150" s="6" t="s">
        <v>47</v>
      </c>
      <c r="E150" s="6" t="str">
        <f>VLOOKUP(D150,'shipping inf'!B:D,2,FALSE)</f>
        <v>Tây Ninh</v>
      </c>
      <c r="F150" s="6" t="s">
        <v>665</v>
      </c>
      <c r="G150" s="6">
        <v>180</v>
      </c>
      <c r="H150" s="6">
        <v>2611500101</v>
      </c>
      <c r="I150" s="6" t="s">
        <v>1364</v>
      </c>
      <c r="J150" s="6">
        <v>36</v>
      </c>
      <c r="K150" s="6">
        <v>36</v>
      </c>
      <c r="L150" s="6" t="s">
        <v>19</v>
      </c>
      <c r="M150" s="6" t="s">
        <v>37</v>
      </c>
      <c r="N150" s="6" t="str">
        <f>VLOOKUP(Table1[[#This Row],[elevator_traction_machine]],'Product inf'!A:B,2,FALSE)</f>
        <v>SP015</v>
      </c>
      <c r="O150" s="6" t="s">
        <v>3</v>
      </c>
      <c r="P150" s="6" t="s">
        <v>9</v>
      </c>
      <c r="Q150" s="6" t="s">
        <v>70</v>
      </c>
      <c r="R150" s="6" t="s">
        <v>68</v>
      </c>
      <c r="S150" s="6">
        <v>443000000</v>
      </c>
      <c r="U150" s="6">
        <v>443000000</v>
      </c>
      <c r="V150" s="6">
        <v>437433333</v>
      </c>
      <c r="X150" s="6">
        <v>20000000</v>
      </c>
      <c r="Y150" s="6">
        <v>10000000</v>
      </c>
      <c r="Z150" s="8">
        <v>46055</v>
      </c>
      <c r="AA150" s="6" t="s">
        <v>2384</v>
      </c>
    </row>
    <row r="151" spans="1:27" x14ac:dyDescent="0.25">
      <c r="A151" s="8">
        <v>45314</v>
      </c>
      <c r="B151" s="6" t="s">
        <v>76</v>
      </c>
      <c r="C151" s="6" t="s">
        <v>1540</v>
      </c>
      <c r="D151" s="6" t="s">
        <v>36</v>
      </c>
      <c r="E151" s="6" t="str">
        <f>VLOOKUP(D151,'shipping inf'!B:D,2,FALSE)</f>
        <v>TP Hồ Chí Minh</v>
      </c>
      <c r="F151" s="6" t="s">
        <v>666</v>
      </c>
      <c r="G151" s="6">
        <v>180</v>
      </c>
      <c r="H151" s="6">
        <v>2411500201</v>
      </c>
      <c r="I151" s="6" t="s">
        <v>1364</v>
      </c>
      <c r="J151" s="6">
        <v>24</v>
      </c>
      <c r="K151" s="6">
        <v>48</v>
      </c>
      <c r="L151" s="6" t="s">
        <v>19</v>
      </c>
      <c r="M151" s="6" t="s">
        <v>37</v>
      </c>
      <c r="N151" s="6" t="str">
        <f>VLOOKUP(Table1[[#This Row],[elevator_traction_machine]],'Product inf'!A:B,2,FALSE)</f>
        <v>SP015</v>
      </c>
      <c r="O151" s="6" t="s">
        <v>3</v>
      </c>
      <c r="P151" s="6" t="s">
        <v>9</v>
      </c>
      <c r="Q151" s="6" t="s">
        <v>70</v>
      </c>
      <c r="R151" s="6" t="s">
        <v>68</v>
      </c>
      <c r="S151" s="6">
        <v>420000000</v>
      </c>
      <c r="U151" s="6">
        <v>420000000</v>
      </c>
      <c r="V151" s="6">
        <v>430600000</v>
      </c>
      <c r="X151" s="6">
        <v>20000000</v>
      </c>
      <c r="Y151" s="6">
        <v>6000000</v>
      </c>
      <c r="Z151" s="8">
        <v>45314</v>
      </c>
      <c r="AA151" s="6" t="s">
        <v>1880</v>
      </c>
    </row>
    <row r="152" spans="1:27" x14ac:dyDescent="0.25">
      <c r="A152" s="8">
        <v>45679</v>
      </c>
      <c r="B152" s="6" t="s">
        <v>253</v>
      </c>
      <c r="C152" s="6" t="s">
        <v>1541</v>
      </c>
      <c r="D152" s="6" t="s">
        <v>36</v>
      </c>
      <c r="E152" s="6" t="str">
        <f>VLOOKUP(D152,'shipping inf'!B:D,2,FALSE)</f>
        <v>TP Hồ Chí Minh</v>
      </c>
      <c r="F152" s="6" t="s">
        <v>667</v>
      </c>
      <c r="G152" s="6">
        <v>180</v>
      </c>
      <c r="H152" s="6">
        <v>2511500201</v>
      </c>
      <c r="I152" s="6" t="s">
        <v>1364</v>
      </c>
      <c r="J152" s="6">
        <v>24</v>
      </c>
      <c r="K152" s="6">
        <v>24</v>
      </c>
      <c r="L152" s="6" t="s">
        <v>15</v>
      </c>
      <c r="M152" s="6" t="s">
        <v>37</v>
      </c>
      <c r="N152" s="6" t="str">
        <f>VLOOKUP(Table1[[#This Row],[elevator_traction_machine]],'Product inf'!A:B,2,FALSE)</f>
        <v>SP010</v>
      </c>
      <c r="O152" s="6" t="s">
        <v>3</v>
      </c>
      <c r="P152" s="6" t="s">
        <v>9</v>
      </c>
      <c r="Q152" s="6" t="s">
        <v>254</v>
      </c>
      <c r="R152" s="6" t="s">
        <v>255</v>
      </c>
      <c r="S152" s="6">
        <v>352000000</v>
      </c>
      <c r="U152" s="6">
        <v>352000000</v>
      </c>
      <c r="V152" s="6">
        <v>350500000</v>
      </c>
      <c r="X152" s="6">
        <v>10000000</v>
      </c>
      <c r="Y152" s="6">
        <v>6000000</v>
      </c>
      <c r="Z152" s="8">
        <v>45695</v>
      </c>
      <c r="AA152" s="6" t="s">
        <v>2132</v>
      </c>
    </row>
    <row r="153" spans="1:27" x14ac:dyDescent="0.25">
      <c r="A153" s="8">
        <v>45322</v>
      </c>
      <c r="B153" s="6" t="s">
        <v>77</v>
      </c>
      <c r="C153" s="6" t="s">
        <v>1542</v>
      </c>
      <c r="D153" s="6" t="s">
        <v>36</v>
      </c>
      <c r="E153" s="6" t="str">
        <f>VLOOKUP(D153,'shipping inf'!B:D,2,FALSE)</f>
        <v>TP Hồ Chí Minh</v>
      </c>
      <c r="F153" s="6" t="s">
        <v>668</v>
      </c>
      <c r="G153" s="6">
        <v>180</v>
      </c>
      <c r="H153" s="6">
        <v>2411500301</v>
      </c>
      <c r="I153" s="6" t="s">
        <v>1364</v>
      </c>
      <c r="J153" s="6">
        <v>24</v>
      </c>
      <c r="K153" s="6">
        <v>30</v>
      </c>
      <c r="L153" s="6" t="s">
        <v>15</v>
      </c>
      <c r="M153" s="6" t="s">
        <v>37</v>
      </c>
      <c r="N153" s="6" t="str">
        <f>VLOOKUP(Table1[[#This Row],[elevator_traction_machine]],'Product inf'!A:B,2,FALSE)</f>
        <v>SP006</v>
      </c>
      <c r="O153" s="6" t="s">
        <v>3</v>
      </c>
      <c r="P153" s="6" t="s">
        <v>9</v>
      </c>
      <c r="Q153" s="6" t="s">
        <v>67</v>
      </c>
      <c r="R153" s="6" t="s">
        <v>68</v>
      </c>
      <c r="S153" s="6">
        <v>370000000</v>
      </c>
      <c r="U153" s="6">
        <v>370000000</v>
      </c>
      <c r="V153" s="6">
        <v>360000000</v>
      </c>
      <c r="X153" s="6">
        <v>20000000</v>
      </c>
      <c r="Y153" s="6">
        <v>6000000</v>
      </c>
      <c r="Z153" s="8">
        <v>45324</v>
      </c>
      <c r="AA153" s="6" t="s">
        <v>1880</v>
      </c>
    </row>
    <row r="154" spans="1:27" x14ac:dyDescent="0.25">
      <c r="A154" s="8">
        <v>45805</v>
      </c>
      <c r="B154" s="6" t="s">
        <v>317</v>
      </c>
      <c r="C154" s="6" t="s">
        <v>1543</v>
      </c>
      <c r="D154" s="6" t="s">
        <v>36</v>
      </c>
      <c r="E154" s="6" t="str">
        <f>VLOOKUP(D154,'shipping inf'!B:D,2,FALSE)</f>
        <v>TP Hồ Chí Minh</v>
      </c>
      <c r="F154" s="6" t="s">
        <v>669</v>
      </c>
      <c r="G154" s="6">
        <v>60</v>
      </c>
      <c r="H154" s="6">
        <v>2511500301</v>
      </c>
      <c r="I154" s="6" t="s">
        <v>1364</v>
      </c>
      <c r="J154" s="6">
        <v>24</v>
      </c>
      <c r="K154" s="6">
        <v>24</v>
      </c>
      <c r="L154" s="6" t="s">
        <v>15</v>
      </c>
      <c r="M154" s="6" t="s">
        <v>37</v>
      </c>
      <c r="N154" s="6" t="str">
        <f>VLOOKUP(Table1[[#This Row],[elevator_traction_machine]],'Product inf'!A:B,2,FALSE)</f>
        <v>SP006</v>
      </c>
      <c r="O154" s="6" t="s">
        <v>3</v>
      </c>
      <c r="P154" s="6" t="s">
        <v>9</v>
      </c>
      <c r="Q154" s="6" t="s">
        <v>67</v>
      </c>
      <c r="R154" s="6" t="s">
        <v>68</v>
      </c>
      <c r="S154" s="6">
        <v>348000000</v>
      </c>
      <c r="U154" s="6">
        <v>348000000</v>
      </c>
      <c r="V154" s="6">
        <v>364300000</v>
      </c>
      <c r="Y154" s="6">
        <v>6000000</v>
      </c>
      <c r="Z154" s="8">
        <v>45805</v>
      </c>
      <c r="AA154" s="6" t="s">
        <v>2216</v>
      </c>
    </row>
    <row r="155" spans="1:27" x14ac:dyDescent="0.25">
      <c r="A155" s="8">
        <v>45461</v>
      </c>
      <c r="B155" s="6" t="s">
        <v>136</v>
      </c>
      <c r="C155" s="6" t="s">
        <v>1544</v>
      </c>
      <c r="D155" s="6" t="s">
        <v>53</v>
      </c>
      <c r="E155" s="6" t="str">
        <f>VLOOKUP(D155,'shipping inf'!B:D,2,FALSE)</f>
        <v>Khánh Hòa</v>
      </c>
      <c r="F155" s="6" t="s">
        <v>670</v>
      </c>
      <c r="G155" s="6">
        <v>60</v>
      </c>
      <c r="H155" s="6">
        <v>2411500401</v>
      </c>
      <c r="I155" s="6" t="s">
        <v>1364</v>
      </c>
      <c r="J155" s="6">
        <v>24</v>
      </c>
      <c r="K155" s="6">
        <v>24</v>
      </c>
      <c r="L155" s="6" t="s">
        <v>15</v>
      </c>
      <c r="M155" s="6" t="s">
        <v>37</v>
      </c>
      <c r="N155" s="6" t="str">
        <f>VLOOKUP(Table1[[#This Row],[elevator_traction_machine]],'Product inf'!A:B,2,FALSE)</f>
        <v>SP015</v>
      </c>
      <c r="O155" s="6" t="s">
        <v>3</v>
      </c>
      <c r="P155" s="6" t="s">
        <v>9</v>
      </c>
      <c r="Q155" s="6" t="s">
        <v>70</v>
      </c>
      <c r="R155" s="6" t="s">
        <v>68</v>
      </c>
      <c r="S155" s="6">
        <v>410000000</v>
      </c>
      <c r="U155" s="6">
        <v>410000000</v>
      </c>
      <c r="V155" s="6">
        <v>410220000</v>
      </c>
      <c r="X155" s="6">
        <v>15000000</v>
      </c>
      <c r="Y155" s="6">
        <v>6000000</v>
      </c>
      <c r="Z155" s="8">
        <v>45470</v>
      </c>
      <c r="AA155" s="6" t="s">
        <v>1985</v>
      </c>
    </row>
    <row r="156" spans="1:27" x14ac:dyDescent="0.25">
      <c r="A156" s="8">
        <v>45726</v>
      </c>
      <c r="B156" s="6" t="s">
        <v>271</v>
      </c>
      <c r="C156" s="6" t="s">
        <v>1545</v>
      </c>
      <c r="D156" s="6" t="s">
        <v>36</v>
      </c>
      <c r="E156" s="6" t="str">
        <f>VLOOKUP(D156,'shipping inf'!B:D,2,FALSE)</f>
        <v>TP Hồ Chí Minh</v>
      </c>
      <c r="F156" s="6" t="s">
        <v>671</v>
      </c>
      <c r="G156" s="6">
        <v>90</v>
      </c>
      <c r="H156" s="6">
        <v>2511500401</v>
      </c>
      <c r="I156" s="6" t="s">
        <v>1364</v>
      </c>
      <c r="J156" s="6">
        <v>24</v>
      </c>
      <c r="K156" s="6">
        <v>36</v>
      </c>
      <c r="L156" s="6" t="s">
        <v>19</v>
      </c>
      <c r="M156" s="6" t="s">
        <v>37</v>
      </c>
      <c r="N156" s="6" t="str">
        <f>VLOOKUP(Table1[[#This Row],[elevator_traction_machine]],'Product inf'!A:B,2,FALSE)</f>
        <v>SP006</v>
      </c>
      <c r="O156" s="6" t="s">
        <v>3</v>
      </c>
      <c r="P156" s="6" t="s">
        <v>9</v>
      </c>
      <c r="Q156" s="6" t="s">
        <v>67</v>
      </c>
      <c r="R156" s="6" t="s">
        <v>68</v>
      </c>
      <c r="S156" s="6">
        <v>365000000</v>
      </c>
      <c r="U156" s="6">
        <v>365000000</v>
      </c>
      <c r="V156" s="6">
        <v>377500000</v>
      </c>
      <c r="X156" s="6">
        <v>15000000</v>
      </c>
      <c r="Y156" s="6">
        <v>6000000</v>
      </c>
      <c r="Z156" s="8">
        <v>45727</v>
      </c>
      <c r="AA156" s="6" t="s">
        <v>2174</v>
      </c>
    </row>
    <row r="157" spans="1:27" x14ac:dyDescent="0.25">
      <c r="A157" s="8">
        <v>45434</v>
      </c>
      <c r="B157" s="6" t="s">
        <v>115</v>
      </c>
      <c r="C157" s="6" t="s">
        <v>1546</v>
      </c>
      <c r="D157" s="6" t="s">
        <v>36</v>
      </c>
      <c r="E157" s="6" t="str">
        <f>VLOOKUP(D157,'shipping inf'!B:D,2,FALSE)</f>
        <v>TP Hồ Chí Minh</v>
      </c>
      <c r="F157" s="6" t="s">
        <v>672</v>
      </c>
      <c r="G157" s="6">
        <v>90</v>
      </c>
      <c r="H157" s="6">
        <v>2411500501</v>
      </c>
      <c r="I157" s="6" t="s">
        <v>1364</v>
      </c>
      <c r="J157" s="6">
        <v>24</v>
      </c>
      <c r="K157" s="6">
        <v>24</v>
      </c>
      <c r="L157" s="6" t="s">
        <v>19</v>
      </c>
      <c r="M157" s="6" t="s">
        <v>37</v>
      </c>
      <c r="N157" s="6" t="str">
        <f>VLOOKUP(Table1[[#This Row],[elevator_traction_machine]],'Product inf'!A:B,2,FALSE)</f>
        <v>SP015</v>
      </c>
      <c r="O157" s="6" t="s">
        <v>3</v>
      </c>
      <c r="P157" s="6" t="s">
        <v>9</v>
      </c>
      <c r="Q157" s="6" t="s">
        <v>70</v>
      </c>
      <c r="R157" s="6" t="s">
        <v>68</v>
      </c>
      <c r="S157" s="6">
        <v>410000000</v>
      </c>
      <c r="U157" s="6">
        <v>410000000</v>
      </c>
      <c r="V157" s="6">
        <v>411215000</v>
      </c>
      <c r="X157" s="6">
        <v>15000000</v>
      </c>
      <c r="Y157" s="6">
        <v>6000000</v>
      </c>
      <c r="Z157" s="8">
        <v>45434</v>
      </c>
      <c r="AA157" s="6" t="s">
        <v>1964</v>
      </c>
    </row>
    <row r="158" spans="1:27" x14ac:dyDescent="0.25">
      <c r="A158" s="8">
        <v>45727</v>
      </c>
      <c r="B158" s="6" t="s">
        <v>272</v>
      </c>
      <c r="C158" s="6" t="s">
        <v>1547</v>
      </c>
      <c r="D158" s="6" t="s">
        <v>36</v>
      </c>
      <c r="E158" s="6" t="str">
        <f>VLOOKUP(D158,'shipping inf'!B:D,2,FALSE)</f>
        <v>TP Hồ Chí Minh</v>
      </c>
      <c r="F158" s="6" t="s">
        <v>673</v>
      </c>
      <c r="G158" s="6">
        <v>120</v>
      </c>
      <c r="H158" s="6">
        <v>2511500501</v>
      </c>
      <c r="I158" s="6" t="s">
        <v>1364</v>
      </c>
      <c r="J158" s="6">
        <v>24</v>
      </c>
      <c r="K158" s="6">
        <v>24</v>
      </c>
      <c r="L158" s="6" t="s">
        <v>12</v>
      </c>
      <c r="M158" s="6" t="s">
        <v>37</v>
      </c>
      <c r="N158" s="6" t="str">
        <f>VLOOKUP(Table1[[#This Row],[elevator_traction_machine]],'Product inf'!A:B,2,FALSE)</f>
        <v>SP010</v>
      </c>
      <c r="O158" s="6" t="s">
        <v>3</v>
      </c>
      <c r="P158" s="6" t="s">
        <v>9</v>
      </c>
      <c r="Q158" s="6" t="s">
        <v>254</v>
      </c>
      <c r="R158" s="6" t="s">
        <v>255</v>
      </c>
      <c r="S158" s="6">
        <v>348000000</v>
      </c>
      <c r="U158" s="6">
        <v>348000000</v>
      </c>
      <c r="V158" s="6">
        <v>356700000</v>
      </c>
      <c r="X158" s="6">
        <v>10000000</v>
      </c>
      <c r="Y158" s="6">
        <v>6000000</v>
      </c>
      <c r="Z158" s="8">
        <v>45728</v>
      </c>
      <c r="AA158" s="6" t="s">
        <v>2174</v>
      </c>
    </row>
    <row r="159" spans="1:27" x14ac:dyDescent="0.25">
      <c r="A159" s="8">
        <v>45499</v>
      </c>
      <c r="B159" s="6" t="s">
        <v>159</v>
      </c>
      <c r="C159" s="6" t="s">
        <v>1548</v>
      </c>
      <c r="D159" s="6" t="s">
        <v>42</v>
      </c>
      <c r="E159" s="6" t="str">
        <f>VLOOKUP(D159,'shipping inf'!B:D,2,FALSE)</f>
        <v>TP Hồ Chí Minh</v>
      </c>
      <c r="F159" s="6" t="s">
        <v>674</v>
      </c>
      <c r="G159" s="6">
        <v>120</v>
      </c>
      <c r="H159" s="6">
        <v>2411500601</v>
      </c>
      <c r="I159" s="6" t="s">
        <v>1364</v>
      </c>
      <c r="J159" s="6">
        <v>24</v>
      </c>
      <c r="K159" s="6">
        <v>24</v>
      </c>
      <c r="L159" s="6" t="s">
        <v>15</v>
      </c>
      <c r="M159" s="6" t="s">
        <v>37</v>
      </c>
      <c r="N159" s="6" t="str">
        <f>VLOOKUP(Table1[[#This Row],[elevator_traction_machine]],'Product inf'!A:B,2,FALSE)</f>
        <v>SP006</v>
      </c>
      <c r="O159" s="6" t="s">
        <v>8</v>
      </c>
      <c r="P159" s="6" t="s">
        <v>4</v>
      </c>
      <c r="Q159" s="6" t="s">
        <v>67</v>
      </c>
      <c r="R159" s="6" t="s">
        <v>68</v>
      </c>
      <c r="S159" s="6">
        <v>472000000</v>
      </c>
      <c r="U159" s="6">
        <v>472000000</v>
      </c>
      <c r="V159" s="6">
        <v>457245000</v>
      </c>
      <c r="X159" s="6">
        <v>10000000</v>
      </c>
      <c r="Y159" s="6">
        <v>6000000</v>
      </c>
      <c r="Z159" s="8">
        <v>45500</v>
      </c>
      <c r="AA159" s="6" t="s">
        <v>2006</v>
      </c>
    </row>
    <row r="160" spans="1:27" x14ac:dyDescent="0.25">
      <c r="A160" s="8">
        <v>45770</v>
      </c>
      <c r="B160" s="6" t="s">
        <v>296</v>
      </c>
      <c r="C160" s="6" t="s">
        <v>1549</v>
      </c>
      <c r="D160" s="6" t="s">
        <v>36</v>
      </c>
      <c r="E160" s="6" t="str">
        <f>VLOOKUP(D160,'shipping inf'!B:D,2,FALSE)</f>
        <v>TP Hồ Chí Minh</v>
      </c>
      <c r="F160" s="6" t="s">
        <v>675</v>
      </c>
      <c r="G160" s="6">
        <v>120</v>
      </c>
      <c r="H160" s="6">
        <v>2511500601</v>
      </c>
      <c r="I160" s="6" t="s">
        <v>1364</v>
      </c>
      <c r="J160" s="6">
        <v>24</v>
      </c>
      <c r="K160" s="6">
        <v>24</v>
      </c>
      <c r="L160" s="6" t="s">
        <v>15</v>
      </c>
      <c r="M160" s="6" t="s">
        <v>37</v>
      </c>
      <c r="N160" s="6" t="str">
        <f>VLOOKUP(Table1[[#This Row],[elevator_traction_machine]],'Product inf'!A:B,2,FALSE)</f>
        <v>SP006</v>
      </c>
      <c r="O160" s="6" t="s">
        <v>8</v>
      </c>
      <c r="P160" s="6" t="s">
        <v>9</v>
      </c>
      <c r="Q160" s="6" t="s">
        <v>67</v>
      </c>
      <c r="R160" s="6" t="s">
        <v>68</v>
      </c>
      <c r="S160" s="6">
        <v>413500000</v>
      </c>
      <c r="U160" s="6">
        <v>413500000</v>
      </c>
      <c r="V160" s="6">
        <v>423300000</v>
      </c>
      <c r="X160" s="6">
        <v>20000000</v>
      </c>
      <c r="Y160" s="6">
        <v>6000000</v>
      </c>
      <c r="Z160" s="8">
        <v>45770</v>
      </c>
      <c r="AA160" s="6" t="s">
        <v>2195</v>
      </c>
    </row>
    <row r="161" spans="1:27" x14ac:dyDescent="0.25">
      <c r="A161" s="8">
        <v>45504</v>
      </c>
      <c r="B161" s="6" t="s">
        <v>162</v>
      </c>
      <c r="C161" s="6" t="s">
        <v>1550</v>
      </c>
      <c r="D161" s="6" t="s">
        <v>36</v>
      </c>
      <c r="E161" s="6" t="str">
        <f>VLOOKUP(D161,'shipping inf'!B:D,2,FALSE)</f>
        <v>TP Hồ Chí Minh</v>
      </c>
      <c r="F161" s="6" t="s">
        <v>676</v>
      </c>
      <c r="G161" s="6">
        <v>120</v>
      </c>
      <c r="H161" s="6">
        <v>2411500701</v>
      </c>
      <c r="I161" s="6" t="s">
        <v>1364</v>
      </c>
      <c r="J161" s="6">
        <v>30</v>
      </c>
      <c r="K161" s="6">
        <v>36</v>
      </c>
      <c r="L161" s="6" t="s">
        <v>15</v>
      </c>
      <c r="M161" s="6" t="s">
        <v>37</v>
      </c>
      <c r="N161" s="6" t="str">
        <f>VLOOKUP(Table1[[#This Row],[elevator_traction_machine]],'Product inf'!A:B,2,FALSE)</f>
        <v>SP015</v>
      </c>
      <c r="O161" s="6" t="s">
        <v>3</v>
      </c>
      <c r="P161" s="6" t="s">
        <v>9</v>
      </c>
      <c r="Q161" s="6" t="s">
        <v>70</v>
      </c>
      <c r="R161" s="6" t="s">
        <v>68</v>
      </c>
      <c r="S161" s="6">
        <v>411000000</v>
      </c>
      <c r="U161" s="6">
        <v>411000000</v>
      </c>
      <c r="V161" s="6">
        <v>389100000</v>
      </c>
      <c r="X161" s="6">
        <v>20000000</v>
      </c>
      <c r="Y161" s="6">
        <v>6000000</v>
      </c>
      <c r="Z161" s="8">
        <v>45505</v>
      </c>
      <c r="AA161" s="6" t="s">
        <v>2006</v>
      </c>
    </row>
    <row r="162" spans="1:27" x14ac:dyDescent="0.25">
      <c r="A162" s="8">
        <v>45838</v>
      </c>
      <c r="B162" s="6" t="s">
        <v>337</v>
      </c>
      <c r="C162" s="6" t="s">
        <v>1551</v>
      </c>
      <c r="D162" s="6" t="s">
        <v>36</v>
      </c>
      <c r="E162" s="6" t="str">
        <f>VLOOKUP(D162,'shipping inf'!B:D,2,FALSE)</f>
        <v>TP Hồ Chí Minh</v>
      </c>
      <c r="F162" s="6" t="s">
        <v>677</v>
      </c>
      <c r="G162" s="6">
        <v>150</v>
      </c>
      <c r="H162" s="6">
        <v>2511500701</v>
      </c>
      <c r="I162" s="6" t="s">
        <v>1364</v>
      </c>
      <c r="J162" s="6">
        <v>24</v>
      </c>
      <c r="K162" s="6">
        <v>24</v>
      </c>
      <c r="L162" s="6" t="s">
        <v>17</v>
      </c>
      <c r="M162" s="6" t="s">
        <v>37</v>
      </c>
      <c r="N162" s="6" t="str">
        <f>VLOOKUP(Table1[[#This Row],[elevator_traction_machine]],'Product inf'!A:B,2,FALSE)</f>
        <v>SP015</v>
      </c>
      <c r="O162" s="6" t="s">
        <v>8</v>
      </c>
      <c r="P162" s="6" t="s">
        <v>9</v>
      </c>
      <c r="Q162" s="6" t="s">
        <v>70</v>
      </c>
      <c r="R162" s="6" t="s">
        <v>68</v>
      </c>
      <c r="S162" s="6">
        <v>529000000</v>
      </c>
      <c r="U162" s="6">
        <v>529000000</v>
      </c>
      <c r="V162" s="6">
        <v>549050000</v>
      </c>
      <c r="X162" s="6">
        <v>25000000</v>
      </c>
      <c r="Y162" s="6">
        <v>6000000</v>
      </c>
      <c r="Z162" s="8">
        <v>45838</v>
      </c>
      <c r="AA162" s="6" t="s">
        <v>2237</v>
      </c>
    </row>
    <row r="163" spans="1:27" x14ac:dyDescent="0.25">
      <c r="A163" s="8">
        <v>45561</v>
      </c>
      <c r="B163" s="6" t="s">
        <v>191</v>
      </c>
      <c r="C163" s="6" t="s">
        <v>1552</v>
      </c>
      <c r="D163" s="6" t="s">
        <v>36</v>
      </c>
      <c r="E163" s="6" t="str">
        <f>VLOOKUP(D163,'shipping inf'!B:D,2,FALSE)</f>
        <v>TP Hồ Chí Minh</v>
      </c>
      <c r="F163" s="6" t="s">
        <v>678</v>
      </c>
      <c r="G163" s="6">
        <v>90</v>
      </c>
      <c r="H163" s="6">
        <v>2411500801</v>
      </c>
      <c r="I163" s="6" t="s">
        <v>1364</v>
      </c>
      <c r="J163" s="6">
        <v>24</v>
      </c>
      <c r="K163" s="6">
        <v>24</v>
      </c>
      <c r="L163" s="6" t="s">
        <v>15</v>
      </c>
      <c r="M163" s="6" t="s">
        <v>37</v>
      </c>
      <c r="N163" s="6" t="str">
        <f>VLOOKUP(Table1[[#This Row],[elevator_traction_machine]],'Product inf'!A:B,2,FALSE)</f>
        <v>SP006</v>
      </c>
      <c r="O163" s="6" t="s">
        <v>8</v>
      </c>
      <c r="P163" s="6" t="s">
        <v>9</v>
      </c>
      <c r="Q163" s="6" t="s">
        <v>67</v>
      </c>
      <c r="R163" s="6" t="s">
        <v>68</v>
      </c>
      <c r="S163" s="6">
        <v>471000000</v>
      </c>
      <c r="U163" s="6">
        <v>471000000</v>
      </c>
      <c r="V163" s="6">
        <v>450050000</v>
      </c>
      <c r="X163" s="6">
        <v>10000000</v>
      </c>
      <c r="Y163" s="6">
        <v>6000000</v>
      </c>
      <c r="Z163" s="8">
        <v>45561</v>
      </c>
      <c r="AA163" s="6" t="s">
        <v>2048</v>
      </c>
    </row>
    <row r="164" spans="1:27" x14ac:dyDescent="0.25">
      <c r="A164" s="8">
        <v>45762</v>
      </c>
      <c r="B164" s="6" t="s">
        <v>292</v>
      </c>
      <c r="C164" s="6" t="s">
        <v>1553</v>
      </c>
      <c r="D164" s="6" t="s">
        <v>36</v>
      </c>
      <c r="E164" s="6" t="str">
        <f>VLOOKUP(D164,'shipping inf'!B:D,2,FALSE)</f>
        <v>TP Hồ Chí Minh</v>
      </c>
      <c r="F164" s="6" t="s">
        <v>679</v>
      </c>
      <c r="G164" s="6">
        <v>120</v>
      </c>
      <c r="H164" s="6">
        <v>2511500801</v>
      </c>
      <c r="I164" s="6" t="s">
        <v>1364</v>
      </c>
      <c r="J164" s="6">
        <v>24</v>
      </c>
      <c r="K164" s="6">
        <v>24</v>
      </c>
      <c r="L164" s="6" t="s">
        <v>15</v>
      </c>
      <c r="M164" s="6" t="s">
        <v>37</v>
      </c>
      <c r="N164" s="6" t="str">
        <f>VLOOKUP(Table1[[#This Row],[elevator_traction_machine]],'Product inf'!A:B,2,FALSE)</f>
        <v>SP001</v>
      </c>
      <c r="O164" s="6" t="s">
        <v>8</v>
      </c>
      <c r="P164" s="6" t="s">
        <v>9</v>
      </c>
      <c r="Q164" s="6" t="s">
        <v>252</v>
      </c>
      <c r="R164" s="6" t="s">
        <v>68</v>
      </c>
      <c r="S164" s="6">
        <v>490000000</v>
      </c>
      <c r="U164" s="6">
        <v>490000000</v>
      </c>
      <c r="V164" s="6">
        <v>517219000</v>
      </c>
      <c r="Y164" s="6">
        <v>6000000</v>
      </c>
      <c r="Z164" s="8">
        <v>45762</v>
      </c>
      <c r="AA164" s="6" t="s">
        <v>2195</v>
      </c>
    </row>
    <row r="165" spans="1:27" x14ac:dyDescent="0.25">
      <c r="A165" s="8">
        <v>45588</v>
      </c>
      <c r="B165" s="6" t="s">
        <v>215</v>
      </c>
      <c r="C165" s="6" t="s">
        <v>1554</v>
      </c>
      <c r="D165" s="6" t="s">
        <v>36</v>
      </c>
      <c r="E165" s="6" t="str">
        <f>VLOOKUP(D165,'shipping inf'!B:D,2,FALSE)</f>
        <v>TP Hồ Chí Minh</v>
      </c>
      <c r="F165" s="6" t="s">
        <v>680</v>
      </c>
      <c r="G165" s="6">
        <v>160</v>
      </c>
      <c r="H165" s="6">
        <v>2411500901</v>
      </c>
      <c r="I165" s="6" t="s">
        <v>1364</v>
      </c>
      <c r="J165" s="6">
        <v>30</v>
      </c>
      <c r="K165" s="6">
        <v>24</v>
      </c>
      <c r="L165" s="6" t="s">
        <v>19</v>
      </c>
      <c r="M165" s="6" t="s">
        <v>37</v>
      </c>
      <c r="N165" s="6" t="str">
        <f>VLOOKUP(Table1[[#This Row],[elevator_traction_machine]],'Product inf'!A:B,2,FALSE)</f>
        <v>SP006</v>
      </c>
      <c r="O165" s="6" t="s">
        <v>3</v>
      </c>
      <c r="P165" s="6" t="s">
        <v>9</v>
      </c>
      <c r="Q165" s="6" t="s">
        <v>67</v>
      </c>
      <c r="R165" s="6" t="s">
        <v>68</v>
      </c>
      <c r="S165" s="6">
        <v>363000000</v>
      </c>
      <c r="U165" s="6">
        <v>363000000</v>
      </c>
      <c r="V165" s="6">
        <v>362900000</v>
      </c>
      <c r="X165" s="6">
        <v>20000000</v>
      </c>
      <c r="Y165" s="6">
        <v>6000000</v>
      </c>
      <c r="Z165" s="8">
        <v>45588</v>
      </c>
      <c r="AA165" s="6" t="s">
        <v>2069</v>
      </c>
    </row>
    <row r="166" spans="1:27" x14ac:dyDescent="0.25">
      <c r="A166" s="8">
        <v>45761</v>
      </c>
      <c r="B166" s="6" t="s">
        <v>1862</v>
      </c>
      <c r="C166" s="6" t="s">
        <v>1555</v>
      </c>
      <c r="D166" s="6" t="s">
        <v>54</v>
      </c>
      <c r="E166" s="6" t="str">
        <f>VLOOKUP(D166,'shipping inf'!B:D,2,FALSE)</f>
        <v>Khánh Hòa</v>
      </c>
      <c r="F166" s="6" t="s">
        <v>681</v>
      </c>
      <c r="G166" s="6">
        <v>120</v>
      </c>
      <c r="H166" s="6">
        <v>2511500901</v>
      </c>
      <c r="I166" s="6" t="s">
        <v>1364</v>
      </c>
      <c r="J166" s="6">
        <v>24</v>
      </c>
      <c r="K166" s="6">
        <v>24</v>
      </c>
      <c r="L166" s="6" t="s">
        <v>19</v>
      </c>
      <c r="M166" s="6" t="s">
        <v>37</v>
      </c>
      <c r="N166" s="6" t="str">
        <f>VLOOKUP(Table1[[#This Row],[elevator_traction_machine]],'Product inf'!A:B,2,FALSE)</f>
        <v>SP006</v>
      </c>
      <c r="O166" s="6" t="s">
        <v>3</v>
      </c>
      <c r="P166" s="6" t="s">
        <v>9</v>
      </c>
      <c r="Q166" s="6" t="s">
        <v>67</v>
      </c>
      <c r="R166" s="6" t="s">
        <v>68</v>
      </c>
      <c r="S166" s="6">
        <v>387000000</v>
      </c>
      <c r="U166" s="6">
        <v>387000000</v>
      </c>
      <c r="V166" s="6">
        <v>408500000</v>
      </c>
      <c r="X166" s="6">
        <v>10000000</v>
      </c>
      <c r="Y166" s="6">
        <v>6000000</v>
      </c>
      <c r="Z166" s="8">
        <v>45761</v>
      </c>
      <c r="AA166" s="6" t="s">
        <v>2195</v>
      </c>
    </row>
    <row r="167" spans="1:27" x14ac:dyDescent="0.25">
      <c r="A167" s="8">
        <v>45954</v>
      </c>
      <c r="B167" s="6" t="s">
        <v>425</v>
      </c>
      <c r="C167" s="6" t="s">
        <v>1556</v>
      </c>
      <c r="D167" s="6" t="s">
        <v>36</v>
      </c>
      <c r="E167" s="6" t="str">
        <f>VLOOKUP(D167,'shipping inf'!B:D,2,FALSE)</f>
        <v>TP Hồ Chí Minh</v>
      </c>
      <c r="F167" s="6" t="s">
        <v>682</v>
      </c>
      <c r="G167" s="6">
        <v>90</v>
      </c>
      <c r="H167" s="6">
        <v>2510105101</v>
      </c>
      <c r="I167" s="6" t="s">
        <v>1375</v>
      </c>
      <c r="J167" s="6">
        <v>24</v>
      </c>
      <c r="K167" s="6">
        <v>12</v>
      </c>
      <c r="L167" s="6" t="s">
        <v>2</v>
      </c>
      <c r="M167" s="6" t="s">
        <v>37</v>
      </c>
      <c r="N167" s="6" t="str">
        <f>VLOOKUP(Table1[[#This Row],[elevator_traction_machine]],'Product inf'!A:B,2,FALSE)</f>
        <v>SP006</v>
      </c>
      <c r="O167" s="6" t="s">
        <v>8</v>
      </c>
      <c r="P167" s="6" t="s">
        <v>9</v>
      </c>
      <c r="Q167" s="6" t="s">
        <v>67</v>
      </c>
      <c r="R167" s="6" t="s">
        <v>255</v>
      </c>
      <c r="S167" s="6">
        <v>514000000</v>
      </c>
      <c r="U167" s="6">
        <v>514000000</v>
      </c>
      <c r="V167" s="6">
        <v>557000000</v>
      </c>
      <c r="Y167" s="6">
        <v>6340000</v>
      </c>
      <c r="Z167" s="8">
        <v>45954</v>
      </c>
      <c r="AA167" s="6" t="s">
        <v>2332</v>
      </c>
    </row>
    <row r="168" spans="1:27" x14ac:dyDescent="0.25">
      <c r="A168" s="8">
        <v>45776</v>
      </c>
      <c r="B168" s="6" t="s">
        <v>298</v>
      </c>
      <c r="C168" s="6" t="s">
        <v>1557</v>
      </c>
      <c r="D168" s="6" t="s">
        <v>36</v>
      </c>
      <c r="E168" s="6" t="str">
        <f>VLOOKUP(D168,'shipping inf'!B:D,2,FALSE)</f>
        <v>TP Hồ Chí Minh</v>
      </c>
      <c r="F168" s="6" t="s">
        <v>683</v>
      </c>
      <c r="G168" s="6">
        <v>90</v>
      </c>
      <c r="H168" s="6">
        <v>2511501001</v>
      </c>
      <c r="I168" s="6" t="s">
        <v>1364</v>
      </c>
      <c r="J168" s="6">
        <v>24</v>
      </c>
      <c r="K168" s="6">
        <v>24</v>
      </c>
      <c r="L168" s="6" t="s">
        <v>19</v>
      </c>
      <c r="M168" s="6" t="s">
        <v>37</v>
      </c>
      <c r="N168" s="6" t="str">
        <f>VLOOKUP(Table1[[#This Row],[elevator_traction_machine]],'Product inf'!A:B,2,FALSE)</f>
        <v>SP006</v>
      </c>
      <c r="O168" s="6" t="s">
        <v>3</v>
      </c>
      <c r="P168" s="6" t="s">
        <v>9</v>
      </c>
      <c r="Q168" s="6" t="s">
        <v>67</v>
      </c>
      <c r="R168" s="6" t="s">
        <v>267</v>
      </c>
      <c r="S168" s="6">
        <v>328000000</v>
      </c>
      <c r="U168" s="6">
        <v>328000000</v>
      </c>
      <c r="V168" s="6">
        <v>345500000</v>
      </c>
      <c r="X168" s="6">
        <v>15000000</v>
      </c>
      <c r="Y168" s="6">
        <v>6000000</v>
      </c>
      <c r="Z168" s="8">
        <v>45776</v>
      </c>
      <c r="AA168" s="6" t="s">
        <v>2195</v>
      </c>
    </row>
    <row r="169" spans="1:27" x14ac:dyDescent="0.25">
      <c r="A169" s="8">
        <v>45582</v>
      </c>
      <c r="B169" s="6" t="s">
        <v>208</v>
      </c>
      <c r="C169" s="6" t="s">
        <v>1558</v>
      </c>
      <c r="D169" s="6" t="s">
        <v>36</v>
      </c>
      <c r="E169" s="6" t="str">
        <f>VLOOKUP(D169,'shipping inf'!B:D,2,FALSE)</f>
        <v>TP Hồ Chí Minh</v>
      </c>
      <c r="F169" s="6" t="s">
        <v>684</v>
      </c>
      <c r="G169" s="6">
        <v>60</v>
      </c>
      <c r="H169" s="6">
        <v>2411501101</v>
      </c>
      <c r="I169" s="6" t="s">
        <v>1364</v>
      </c>
      <c r="J169" s="6">
        <v>24</v>
      </c>
      <c r="K169" s="6">
        <v>24</v>
      </c>
      <c r="L169" s="6" t="s">
        <v>15</v>
      </c>
      <c r="M169" s="6" t="s">
        <v>37</v>
      </c>
      <c r="N169" s="6" t="str">
        <f>VLOOKUP(Table1[[#This Row],[elevator_traction_machine]],'Product inf'!A:B,2,FALSE)</f>
        <v>SP015</v>
      </c>
      <c r="O169" s="6" t="s">
        <v>8</v>
      </c>
      <c r="P169" s="6" t="s">
        <v>9</v>
      </c>
      <c r="Q169" s="6" t="s">
        <v>70</v>
      </c>
      <c r="R169" s="6" t="s">
        <v>68</v>
      </c>
      <c r="S169" s="6">
        <v>506000000</v>
      </c>
      <c r="U169" s="6">
        <v>506000000</v>
      </c>
      <c r="V169" s="6">
        <v>527458750</v>
      </c>
      <c r="Y169" s="6">
        <v>6000000</v>
      </c>
      <c r="Z169" s="8">
        <v>45582</v>
      </c>
      <c r="AA169" s="6" t="s">
        <v>2069</v>
      </c>
    </row>
    <row r="170" spans="1:27" x14ac:dyDescent="0.25">
      <c r="A170" s="8">
        <v>45856</v>
      </c>
      <c r="B170" s="6" t="s">
        <v>352</v>
      </c>
      <c r="C170" s="6" t="s">
        <v>1559</v>
      </c>
      <c r="D170" s="6" t="s">
        <v>36</v>
      </c>
      <c r="E170" s="6" t="str">
        <f>VLOOKUP(D170,'shipping inf'!B:D,2,FALSE)</f>
        <v>TP Hồ Chí Minh</v>
      </c>
      <c r="F170" s="6" t="s">
        <v>685</v>
      </c>
      <c r="G170" s="6">
        <v>150</v>
      </c>
      <c r="H170" s="6">
        <v>2511501101</v>
      </c>
      <c r="I170" s="6" t="s">
        <v>1364</v>
      </c>
      <c r="J170" s="6">
        <v>24</v>
      </c>
      <c r="K170" s="6">
        <v>24</v>
      </c>
      <c r="L170" s="6" t="s">
        <v>19</v>
      </c>
      <c r="M170" s="6" t="s">
        <v>37</v>
      </c>
      <c r="N170" s="6" t="str">
        <f>VLOOKUP(Table1[[#This Row],[elevator_traction_machine]],'Product inf'!A:B,2,FALSE)</f>
        <v>SP015</v>
      </c>
      <c r="O170" s="6" t="s">
        <v>3</v>
      </c>
      <c r="P170" s="6" t="s">
        <v>9</v>
      </c>
      <c r="Q170" s="6" t="s">
        <v>70</v>
      </c>
      <c r="R170" s="6" t="s">
        <v>267</v>
      </c>
      <c r="S170" s="6">
        <v>475000000</v>
      </c>
      <c r="U170" s="6">
        <v>475000000</v>
      </c>
      <c r="V170" s="6">
        <v>488500000</v>
      </c>
      <c r="X170" s="6">
        <v>5000000</v>
      </c>
      <c r="Y170" s="6">
        <v>6000000</v>
      </c>
      <c r="Z170" s="8">
        <v>45856</v>
      </c>
      <c r="AA170" s="6" t="s">
        <v>2258</v>
      </c>
    </row>
    <row r="171" spans="1:27" x14ac:dyDescent="0.25">
      <c r="A171" s="8">
        <v>45846</v>
      </c>
      <c r="B171" s="6" t="s">
        <v>345</v>
      </c>
      <c r="C171" s="6" t="s">
        <v>1560</v>
      </c>
      <c r="D171" s="6" t="s">
        <v>36</v>
      </c>
      <c r="E171" s="6" t="str">
        <f>VLOOKUP(D171,'shipping inf'!B:D,2,FALSE)</f>
        <v>TP Hồ Chí Minh</v>
      </c>
      <c r="F171" s="6" t="s">
        <v>686</v>
      </c>
      <c r="G171" s="6">
        <v>60</v>
      </c>
      <c r="H171" s="6">
        <v>2511501301</v>
      </c>
      <c r="I171" s="6" t="s">
        <v>1364</v>
      </c>
      <c r="J171" s="6">
        <v>24</v>
      </c>
      <c r="K171" s="6">
        <v>24</v>
      </c>
      <c r="L171" s="6" t="s">
        <v>19</v>
      </c>
      <c r="M171" s="6" t="s">
        <v>37</v>
      </c>
      <c r="N171" s="6" t="str">
        <f>VLOOKUP(Table1[[#This Row],[elevator_traction_machine]],'Product inf'!A:B,2,FALSE)</f>
        <v>SP006</v>
      </c>
      <c r="O171" s="6" t="s">
        <v>3</v>
      </c>
      <c r="P171" s="6" t="s">
        <v>9</v>
      </c>
      <c r="Q171" s="6" t="s">
        <v>67</v>
      </c>
      <c r="R171" s="6" t="s">
        <v>68</v>
      </c>
      <c r="S171" s="6">
        <v>350000000</v>
      </c>
      <c r="U171" s="6">
        <v>350000000</v>
      </c>
      <c r="V171" s="6">
        <v>367400000</v>
      </c>
      <c r="X171" s="6">
        <v>10000000</v>
      </c>
      <c r="Y171" s="6">
        <v>6000000</v>
      </c>
      <c r="Z171" s="8">
        <v>45846</v>
      </c>
      <c r="AA171" s="6" t="s">
        <v>2258</v>
      </c>
    </row>
    <row r="172" spans="1:27" x14ac:dyDescent="0.25">
      <c r="A172" s="8">
        <v>45866</v>
      </c>
      <c r="B172" s="6" t="s">
        <v>355</v>
      </c>
      <c r="C172" s="6" t="s">
        <v>1561</v>
      </c>
      <c r="D172" s="6" t="s">
        <v>36</v>
      </c>
      <c r="E172" s="6" t="str">
        <f>VLOOKUP(D172,'shipping inf'!B:D,2,FALSE)</f>
        <v>TP Hồ Chí Minh</v>
      </c>
      <c r="F172" s="6" t="s">
        <v>687</v>
      </c>
      <c r="G172" s="6">
        <v>70</v>
      </c>
      <c r="H172" s="6">
        <v>2511501601</v>
      </c>
      <c r="I172" s="6" t="s">
        <v>1364</v>
      </c>
      <c r="J172" s="6">
        <v>24</v>
      </c>
      <c r="K172" s="6">
        <v>24</v>
      </c>
      <c r="L172" s="6" t="s">
        <v>15</v>
      </c>
      <c r="M172" s="6" t="s">
        <v>37</v>
      </c>
      <c r="N172" s="6" t="str">
        <f>VLOOKUP(Table1[[#This Row],[elevator_traction_machine]],'Product inf'!A:B,2,FALSE)</f>
        <v>SP006</v>
      </c>
      <c r="O172" s="6" t="s">
        <v>8</v>
      </c>
      <c r="P172" s="6" t="s">
        <v>9</v>
      </c>
      <c r="Q172" s="6" t="s">
        <v>67</v>
      </c>
      <c r="R172" s="6" t="s">
        <v>68</v>
      </c>
      <c r="S172" s="6">
        <v>500000000</v>
      </c>
      <c r="U172" s="6">
        <v>500000000</v>
      </c>
      <c r="V172" s="6">
        <v>495500000</v>
      </c>
      <c r="X172" s="6">
        <v>15000000</v>
      </c>
      <c r="Y172" s="6">
        <v>6000000</v>
      </c>
      <c r="Z172" s="8">
        <v>45867</v>
      </c>
      <c r="AA172" s="6" t="s">
        <v>2258</v>
      </c>
    </row>
    <row r="173" spans="1:27" x14ac:dyDescent="0.25">
      <c r="A173" s="8">
        <v>45890</v>
      </c>
      <c r="B173" s="6" t="s">
        <v>374</v>
      </c>
      <c r="C173" s="6" t="s">
        <v>1562</v>
      </c>
      <c r="D173" s="6" t="s">
        <v>36</v>
      </c>
      <c r="E173" s="6" t="str">
        <f>VLOOKUP(D173,'shipping inf'!B:D,2,FALSE)</f>
        <v>TP Hồ Chí Minh</v>
      </c>
      <c r="F173" s="6" t="s">
        <v>688</v>
      </c>
      <c r="G173" s="6">
        <v>120</v>
      </c>
      <c r="H173" s="6">
        <v>2511501701</v>
      </c>
      <c r="I173" s="6" t="s">
        <v>1364</v>
      </c>
      <c r="J173" s="6">
        <v>24</v>
      </c>
      <c r="K173" s="6">
        <v>24</v>
      </c>
      <c r="L173" s="6" t="s">
        <v>12</v>
      </c>
      <c r="M173" s="6" t="s">
        <v>37</v>
      </c>
      <c r="N173" s="6" t="str">
        <f>VLOOKUP(Table1[[#This Row],[elevator_traction_machine]],'Product inf'!A:B,2,FALSE)</f>
        <v>SP015</v>
      </c>
      <c r="O173" s="6" t="s">
        <v>3</v>
      </c>
      <c r="P173" s="6" t="s">
        <v>9</v>
      </c>
      <c r="Q173" s="6" t="s">
        <v>70</v>
      </c>
      <c r="R173" s="6" t="s">
        <v>68</v>
      </c>
      <c r="S173" s="6">
        <v>345000000</v>
      </c>
      <c r="U173" s="6">
        <v>345000000</v>
      </c>
      <c r="V173" s="6">
        <v>341600000</v>
      </c>
      <c r="Y173" s="6">
        <v>10000000</v>
      </c>
      <c r="Z173" s="8">
        <v>45890</v>
      </c>
      <c r="AA173" s="6" t="s">
        <v>2279</v>
      </c>
    </row>
    <row r="174" spans="1:27" x14ac:dyDescent="0.25">
      <c r="A174" s="8">
        <v>45958</v>
      </c>
      <c r="B174" s="6" t="s">
        <v>430</v>
      </c>
      <c r="C174" s="6" t="s">
        <v>1563</v>
      </c>
      <c r="D174" s="6" t="s">
        <v>36</v>
      </c>
      <c r="E174" s="6" t="str">
        <f>VLOOKUP(D174,'shipping inf'!B:D,2,FALSE)</f>
        <v>TP Hồ Chí Minh</v>
      </c>
      <c r="F174" s="6" t="s">
        <v>689</v>
      </c>
      <c r="G174" s="6">
        <v>90</v>
      </c>
      <c r="H174" s="6">
        <v>2510105201</v>
      </c>
      <c r="I174" s="6" t="s">
        <v>1375</v>
      </c>
      <c r="J174" s="6">
        <v>24</v>
      </c>
      <c r="K174" s="6">
        <v>12</v>
      </c>
      <c r="L174" s="6" t="s">
        <v>2</v>
      </c>
      <c r="M174" s="6" t="s">
        <v>37</v>
      </c>
      <c r="N174" s="6" t="str">
        <f>VLOOKUP(Table1[[#This Row],[elevator_traction_machine]],'Product inf'!A:B,2,FALSE)</f>
        <v>SP015</v>
      </c>
      <c r="O174" s="6" t="s">
        <v>3</v>
      </c>
      <c r="P174" s="6" t="s">
        <v>9</v>
      </c>
      <c r="Q174" s="6" t="s">
        <v>70</v>
      </c>
      <c r="R174" s="6" t="s">
        <v>68</v>
      </c>
      <c r="S174" s="6">
        <v>412000000</v>
      </c>
      <c r="U174" s="6">
        <v>412000000</v>
      </c>
      <c r="V174" s="6">
        <v>402000000</v>
      </c>
      <c r="Y174" s="6">
        <v>1000000</v>
      </c>
      <c r="Z174" s="8">
        <v>45962</v>
      </c>
      <c r="AA174" s="6" t="s">
        <v>2332</v>
      </c>
    </row>
    <row r="175" spans="1:27" x14ac:dyDescent="0.25">
      <c r="A175" s="8">
        <v>45978</v>
      </c>
      <c r="B175" s="6" t="s">
        <v>441</v>
      </c>
      <c r="C175" s="6" t="s">
        <v>1564</v>
      </c>
      <c r="D175" s="6" t="s">
        <v>62</v>
      </c>
      <c r="E175" s="6" t="str">
        <f>VLOOKUP(D175,'shipping inf'!B:D,2,FALSE)</f>
        <v>Vĩnh Long</v>
      </c>
      <c r="F175" s="6" t="s">
        <v>690</v>
      </c>
      <c r="G175" s="6">
        <v>90</v>
      </c>
      <c r="H175" s="6">
        <v>2510105501</v>
      </c>
      <c r="I175" s="6" t="s">
        <v>1375</v>
      </c>
      <c r="J175" s="6">
        <v>24</v>
      </c>
      <c r="K175" s="6">
        <v>24</v>
      </c>
      <c r="L175" s="6" t="s">
        <v>2</v>
      </c>
      <c r="M175" s="6" t="s">
        <v>37</v>
      </c>
      <c r="N175" s="6" t="str">
        <f>VLOOKUP(Table1[[#This Row],[elevator_traction_machine]],'Product inf'!A:B,2,FALSE)</f>
        <v>SP010</v>
      </c>
      <c r="O175" s="6" t="s">
        <v>8</v>
      </c>
      <c r="P175" s="6" t="s">
        <v>9</v>
      </c>
      <c r="Q175" s="6" t="s">
        <v>254</v>
      </c>
      <c r="R175" s="6" t="s">
        <v>255</v>
      </c>
      <c r="S175" s="6">
        <v>451000000</v>
      </c>
      <c r="U175" s="6">
        <v>451000000</v>
      </c>
      <c r="V175" s="6">
        <v>441200000</v>
      </c>
      <c r="Y175" s="6">
        <v>5260000</v>
      </c>
      <c r="Z175" s="8">
        <v>45978</v>
      </c>
      <c r="AA175" s="6" t="s">
        <v>2353</v>
      </c>
    </row>
    <row r="176" spans="1:27" x14ac:dyDescent="0.25">
      <c r="A176" s="8">
        <v>45988</v>
      </c>
      <c r="B176" s="6" t="s">
        <v>452</v>
      </c>
      <c r="C176" s="6" t="s">
        <v>1565</v>
      </c>
      <c r="D176" s="6" t="s">
        <v>36</v>
      </c>
      <c r="E176" s="6" t="str">
        <f>VLOOKUP(D176,'shipping inf'!B:D,2,FALSE)</f>
        <v>TP Hồ Chí Minh</v>
      </c>
      <c r="F176" s="6" t="s">
        <v>691</v>
      </c>
      <c r="G176" s="6">
        <v>120</v>
      </c>
      <c r="H176" s="6">
        <v>2510105701</v>
      </c>
      <c r="I176" s="6" t="s">
        <v>1375</v>
      </c>
      <c r="J176" s="6">
        <v>24</v>
      </c>
      <c r="K176" s="6">
        <v>12</v>
      </c>
      <c r="L176" s="6" t="s">
        <v>2</v>
      </c>
      <c r="M176" s="6" t="s">
        <v>37</v>
      </c>
      <c r="N176" s="6" t="str">
        <f>VLOOKUP(Table1[[#This Row],[elevator_traction_machine]],'Product inf'!A:B,2,FALSE)</f>
        <v>SP006</v>
      </c>
      <c r="O176" s="6" t="s">
        <v>3</v>
      </c>
      <c r="P176" s="6" t="s">
        <v>9</v>
      </c>
      <c r="Q176" s="6" t="s">
        <v>67</v>
      </c>
      <c r="R176" s="6" t="s">
        <v>68</v>
      </c>
      <c r="S176" s="6">
        <v>385000000</v>
      </c>
      <c r="U176" s="6">
        <v>385000000</v>
      </c>
      <c r="V176" s="6">
        <v>377000000</v>
      </c>
      <c r="X176" s="6">
        <v>2000000</v>
      </c>
      <c r="Y176" s="6">
        <v>5350000</v>
      </c>
      <c r="Z176" s="8">
        <v>45988</v>
      </c>
      <c r="AA176" s="6" t="s">
        <v>2353</v>
      </c>
    </row>
    <row r="177" spans="1:27" x14ac:dyDescent="0.25">
      <c r="A177" s="8">
        <v>45988</v>
      </c>
      <c r="B177" s="6" t="s">
        <v>453</v>
      </c>
      <c r="C177" s="6" t="s">
        <v>1566</v>
      </c>
      <c r="D177" s="6" t="s">
        <v>36</v>
      </c>
      <c r="E177" s="6" t="str">
        <f>VLOOKUP(D177,'shipping inf'!B:D,2,FALSE)</f>
        <v>TP Hồ Chí Minh</v>
      </c>
      <c r="F177" s="6" t="s">
        <v>692</v>
      </c>
      <c r="G177" s="6">
        <v>120</v>
      </c>
      <c r="H177" s="6">
        <v>2510105801</v>
      </c>
      <c r="I177" s="6" t="s">
        <v>1375</v>
      </c>
      <c r="J177" s="6">
        <v>24</v>
      </c>
      <c r="K177" s="6">
        <v>12</v>
      </c>
      <c r="L177" s="6" t="s">
        <v>2</v>
      </c>
      <c r="M177" s="6" t="s">
        <v>37</v>
      </c>
      <c r="N177" s="6" t="str">
        <f>VLOOKUP(Table1[[#This Row],[elevator_traction_machine]],'Product inf'!A:B,2,FALSE)</f>
        <v>SP006</v>
      </c>
      <c r="O177" s="6" t="s">
        <v>3</v>
      </c>
      <c r="P177" s="6" t="s">
        <v>9</v>
      </c>
      <c r="Q177" s="6" t="s">
        <v>67</v>
      </c>
      <c r="R177" s="6" t="s">
        <v>68</v>
      </c>
      <c r="S177" s="6">
        <v>385000000</v>
      </c>
      <c r="U177" s="6">
        <v>385000000</v>
      </c>
      <c r="V177" s="6">
        <v>377000000</v>
      </c>
      <c r="Y177" s="6">
        <v>5350000</v>
      </c>
      <c r="Z177" s="8">
        <v>45988</v>
      </c>
      <c r="AA177" s="6" t="s">
        <v>2353</v>
      </c>
    </row>
    <row r="178" spans="1:27" x14ac:dyDescent="0.25">
      <c r="A178" s="8">
        <v>45989</v>
      </c>
      <c r="B178" s="6" t="s">
        <v>455</v>
      </c>
      <c r="C178" s="6" t="s">
        <v>1567</v>
      </c>
      <c r="D178" s="6" t="s">
        <v>36</v>
      </c>
      <c r="E178" s="6" t="str">
        <f>VLOOKUP(D178,'shipping inf'!B:D,2,FALSE)</f>
        <v>TP Hồ Chí Minh</v>
      </c>
      <c r="F178" s="6" t="s">
        <v>693</v>
      </c>
      <c r="G178" s="6">
        <v>75</v>
      </c>
      <c r="H178" s="6">
        <v>2510105901</v>
      </c>
      <c r="I178" s="6" t="s">
        <v>1375</v>
      </c>
      <c r="J178" s="6">
        <v>24</v>
      </c>
      <c r="K178" s="6">
        <v>24</v>
      </c>
      <c r="L178" s="6" t="s">
        <v>2</v>
      </c>
      <c r="M178" s="6" t="s">
        <v>37</v>
      </c>
      <c r="N178" s="6" t="str">
        <f>VLOOKUP(Table1[[#This Row],[elevator_traction_machine]],'Product inf'!A:B,2,FALSE)</f>
        <v>SP006</v>
      </c>
      <c r="O178" s="6" t="s">
        <v>3</v>
      </c>
      <c r="P178" s="6" t="s">
        <v>9</v>
      </c>
      <c r="Q178" s="6" t="s">
        <v>67</v>
      </c>
      <c r="R178" s="6" t="s">
        <v>68</v>
      </c>
      <c r="S178" s="6">
        <v>440000000</v>
      </c>
      <c r="U178" s="6">
        <v>440000000</v>
      </c>
      <c r="V178" s="6">
        <v>439500000</v>
      </c>
      <c r="Y178" s="6">
        <v>5900000</v>
      </c>
      <c r="Z178" s="8">
        <v>45989</v>
      </c>
      <c r="AA178" s="6" t="s">
        <v>2353</v>
      </c>
    </row>
    <row r="179" spans="1:27" x14ac:dyDescent="0.25">
      <c r="A179" s="8">
        <v>45989</v>
      </c>
      <c r="B179" s="6" t="s">
        <v>454</v>
      </c>
      <c r="C179" s="6" t="s">
        <v>1568</v>
      </c>
      <c r="D179" s="6" t="s">
        <v>36</v>
      </c>
      <c r="E179" s="6" t="str">
        <f>VLOOKUP(D179,'shipping inf'!B:D,2,FALSE)</f>
        <v>TP Hồ Chí Minh</v>
      </c>
      <c r="F179" s="6" t="s">
        <v>694</v>
      </c>
      <c r="G179" s="6">
        <v>75</v>
      </c>
      <c r="H179" s="6">
        <v>2510106001</v>
      </c>
      <c r="I179" s="6" t="s">
        <v>1375</v>
      </c>
      <c r="J179" s="6">
        <v>24</v>
      </c>
      <c r="K179" s="6">
        <v>12</v>
      </c>
      <c r="L179" s="6" t="s">
        <v>2</v>
      </c>
      <c r="M179" s="6" t="s">
        <v>37</v>
      </c>
      <c r="N179" s="6" t="str">
        <f>VLOOKUP(Table1[[#This Row],[elevator_traction_machine]],'Product inf'!A:B,2,FALSE)</f>
        <v>SP006</v>
      </c>
      <c r="O179" s="6" t="s">
        <v>3</v>
      </c>
      <c r="P179" s="6" t="s">
        <v>9</v>
      </c>
      <c r="Q179" s="6" t="s">
        <v>67</v>
      </c>
      <c r="R179" s="6" t="s">
        <v>68</v>
      </c>
      <c r="S179" s="6">
        <v>438000000</v>
      </c>
      <c r="U179" s="6">
        <v>438000000</v>
      </c>
      <c r="V179" s="6">
        <v>430600000</v>
      </c>
      <c r="X179" s="6">
        <v>20000000</v>
      </c>
      <c r="Y179" s="6">
        <v>6300000</v>
      </c>
      <c r="Z179" s="8">
        <v>45989</v>
      </c>
      <c r="AA179" s="6" t="s">
        <v>2353</v>
      </c>
    </row>
    <row r="180" spans="1:27" x14ac:dyDescent="0.25">
      <c r="A180" s="8">
        <v>45573</v>
      </c>
      <c r="B180" s="6" t="s">
        <v>199</v>
      </c>
      <c r="C180" s="6" t="s">
        <v>1569</v>
      </c>
      <c r="D180" s="6" t="s">
        <v>42</v>
      </c>
      <c r="E180" s="6" t="str">
        <f>VLOOKUP(D180,'shipping inf'!B:D,2,FALSE)</f>
        <v>TP Hồ Chí Minh</v>
      </c>
      <c r="F180" s="6" t="s">
        <v>695</v>
      </c>
      <c r="G180" s="6">
        <v>90</v>
      </c>
      <c r="H180" s="6">
        <v>2411600101</v>
      </c>
      <c r="I180" s="6" t="s">
        <v>1370</v>
      </c>
      <c r="J180" s="6">
        <v>24</v>
      </c>
      <c r="K180" s="6">
        <v>24</v>
      </c>
      <c r="L180" s="6" t="s">
        <v>15</v>
      </c>
      <c r="M180" s="6" t="s">
        <v>200</v>
      </c>
      <c r="N180" s="6" t="str">
        <f>VLOOKUP(Table1[[#This Row],[elevator_traction_machine]],'Product inf'!A:B,2,FALSE)</f>
        <v>SP015</v>
      </c>
      <c r="O180" s="6" t="s">
        <v>8</v>
      </c>
      <c r="P180" s="6" t="s">
        <v>9</v>
      </c>
      <c r="Q180" s="6" t="s">
        <v>70</v>
      </c>
      <c r="R180" s="6" t="s">
        <v>68</v>
      </c>
      <c r="S180" s="6">
        <v>468000000</v>
      </c>
      <c r="U180" s="6">
        <v>468000000</v>
      </c>
      <c r="V180" s="6">
        <v>478506320</v>
      </c>
      <c r="Y180" s="6">
        <v>9000000</v>
      </c>
      <c r="Z180" s="8">
        <v>45573</v>
      </c>
      <c r="AA180" s="6" t="s">
        <v>2075</v>
      </c>
    </row>
    <row r="181" spans="1:27" x14ac:dyDescent="0.25">
      <c r="A181" s="8">
        <v>45723</v>
      </c>
      <c r="B181" s="6" t="s">
        <v>269</v>
      </c>
      <c r="C181" s="6" t="s">
        <v>1570</v>
      </c>
      <c r="D181" s="6" t="s">
        <v>36</v>
      </c>
      <c r="E181" s="6" t="str">
        <f>VLOOKUP(D181,'shipping inf'!B:D,2,FALSE)</f>
        <v>TP Hồ Chí Minh</v>
      </c>
      <c r="F181" s="6" t="s">
        <v>696</v>
      </c>
      <c r="G181" s="6">
        <v>75</v>
      </c>
      <c r="H181" s="6">
        <v>2511600101</v>
      </c>
      <c r="I181" s="6" t="s">
        <v>1370</v>
      </c>
      <c r="J181" s="6">
        <v>24</v>
      </c>
      <c r="K181" s="6">
        <v>24</v>
      </c>
      <c r="L181" s="6" t="s">
        <v>19</v>
      </c>
      <c r="M181" s="6" t="s">
        <v>37</v>
      </c>
      <c r="N181" s="6" t="str">
        <f>VLOOKUP(Table1[[#This Row],[elevator_traction_machine]],'Product inf'!A:B,2,FALSE)</f>
        <v>SP015</v>
      </c>
      <c r="O181" s="6" t="s">
        <v>3</v>
      </c>
      <c r="P181" s="6" t="s">
        <v>9</v>
      </c>
      <c r="Q181" s="6" t="s">
        <v>70</v>
      </c>
      <c r="R181" s="6" t="s">
        <v>68</v>
      </c>
      <c r="S181" s="6">
        <v>405000000</v>
      </c>
      <c r="U181" s="6">
        <v>405000000</v>
      </c>
      <c r="V181" s="6">
        <v>416000000</v>
      </c>
      <c r="X181" s="6">
        <v>20000000</v>
      </c>
      <c r="Y181" s="6">
        <v>6000000</v>
      </c>
      <c r="Z181" s="8">
        <v>45726</v>
      </c>
      <c r="AA181" s="6" t="s">
        <v>2180</v>
      </c>
    </row>
    <row r="182" spans="1:27" x14ac:dyDescent="0.25">
      <c r="A182" s="8">
        <v>46050</v>
      </c>
      <c r="B182" s="6" t="s">
        <v>480</v>
      </c>
      <c r="C182" s="6" t="s">
        <v>1571</v>
      </c>
      <c r="D182" s="6" t="s">
        <v>36</v>
      </c>
      <c r="E182" s="6" t="str">
        <f>VLOOKUP(D182,'shipping inf'!B:D,2,FALSE)</f>
        <v>TP Hồ Chí Minh</v>
      </c>
      <c r="F182" s="6" t="s">
        <v>697</v>
      </c>
      <c r="G182" s="6">
        <v>120</v>
      </c>
      <c r="H182" s="6">
        <v>2611600101</v>
      </c>
      <c r="I182" s="6" t="s">
        <v>1370</v>
      </c>
      <c r="J182" s="6">
        <v>24</v>
      </c>
      <c r="K182" s="6">
        <v>24</v>
      </c>
      <c r="L182" s="6" t="s">
        <v>19</v>
      </c>
      <c r="M182" s="6" t="s">
        <v>37</v>
      </c>
      <c r="N182" s="6" t="str">
        <f>VLOOKUP(Table1[[#This Row],[elevator_traction_machine]],'Product inf'!A:B,2,FALSE)</f>
        <v>SP006</v>
      </c>
      <c r="O182" s="6" t="s">
        <v>3</v>
      </c>
      <c r="P182" s="6" t="s">
        <v>9</v>
      </c>
      <c r="Q182" s="6" t="s">
        <v>67</v>
      </c>
      <c r="R182" s="6" t="s">
        <v>68</v>
      </c>
      <c r="S182" s="6">
        <v>362000000</v>
      </c>
      <c r="U182" s="6">
        <v>362000000</v>
      </c>
      <c r="V182" s="6">
        <v>362000000</v>
      </c>
      <c r="X182" s="6">
        <v>20000000</v>
      </c>
      <c r="Y182" s="6">
        <v>10000000</v>
      </c>
      <c r="Z182" s="8">
        <v>46055</v>
      </c>
      <c r="AA182" s="6" t="s">
        <v>2390</v>
      </c>
    </row>
    <row r="183" spans="1:27" x14ac:dyDescent="0.25">
      <c r="A183" s="8">
        <v>45868</v>
      </c>
      <c r="B183" s="6" t="s">
        <v>356</v>
      </c>
      <c r="C183" s="6" t="s">
        <v>1572</v>
      </c>
      <c r="D183" s="6" t="s">
        <v>36</v>
      </c>
      <c r="E183" s="6" t="str">
        <f>VLOOKUP(D183,'shipping inf'!B:D,2,FALSE)</f>
        <v>TP Hồ Chí Minh</v>
      </c>
      <c r="F183" s="6" t="s">
        <v>698</v>
      </c>
      <c r="G183" s="6">
        <v>80</v>
      </c>
      <c r="H183" s="6">
        <v>2511600204</v>
      </c>
      <c r="I183" s="6" t="s">
        <v>1370</v>
      </c>
      <c r="J183" s="6">
        <v>24</v>
      </c>
      <c r="K183" s="6">
        <v>12</v>
      </c>
      <c r="L183" s="6" t="s">
        <v>19</v>
      </c>
      <c r="M183" s="6" t="s">
        <v>37</v>
      </c>
      <c r="N183" s="6" t="str">
        <f>VLOOKUP(Table1[[#This Row],[elevator_traction_machine]],'Product inf'!A:B,2,FALSE)</f>
        <v>SP006</v>
      </c>
      <c r="O183" s="6" t="s">
        <v>3</v>
      </c>
      <c r="P183" s="6" t="s">
        <v>4</v>
      </c>
      <c r="Q183" s="6" t="s">
        <v>67</v>
      </c>
      <c r="R183" s="6" t="s">
        <v>68</v>
      </c>
      <c r="S183" s="6">
        <v>1817900000</v>
      </c>
      <c r="U183" s="6">
        <v>1817900000</v>
      </c>
      <c r="V183" s="6">
        <v>1758000000</v>
      </c>
      <c r="X183" s="6">
        <v>60000000</v>
      </c>
      <c r="Y183" s="6">
        <v>44000000</v>
      </c>
      <c r="Z183" s="8">
        <v>45868</v>
      </c>
      <c r="AA183" s="6" t="s">
        <v>2264</v>
      </c>
    </row>
    <row r="184" spans="1:27" x14ac:dyDescent="0.25">
      <c r="A184" s="8">
        <v>45868</v>
      </c>
      <c r="B184" s="6" t="s">
        <v>356</v>
      </c>
      <c r="C184" s="6" t="s">
        <v>1573</v>
      </c>
      <c r="D184" s="6" t="s">
        <v>36</v>
      </c>
      <c r="E184" s="6" t="str">
        <f>VLOOKUP(D184,'shipping inf'!B:D,2,FALSE)</f>
        <v>TP Hồ Chí Minh</v>
      </c>
      <c r="F184" s="6" t="s">
        <v>698</v>
      </c>
      <c r="G184" s="6">
        <v>80</v>
      </c>
      <c r="H184" s="6">
        <v>2511600204</v>
      </c>
      <c r="I184" s="6" t="s">
        <v>1370</v>
      </c>
      <c r="J184" s="6">
        <v>24</v>
      </c>
      <c r="K184" s="6">
        <v>12</v>
      </c>
      <c r="L184" s="6" t="s">
        <v>19</v>
      </c>
      <c r="M184" s="6" t="s">
        <v>37</v>
      </c>
      <c r="N184" s="6" t="str">
        <f>VLOOKUP(Table1[[#This Row],[elevator_traction_machine]],'Product inf'!A:B,2,FALSE)</f>
        <v>SP006</v>
      </c>
      <c r="O184" s="6" t="s">
        <v>3</v>
      </c>
      <c r="P184" s="6" t="s">
        <v>9</v>
      </c>
      <c r="Q184" s="6" t="s">
        <v>67</v>
      </c>
      <c r="R184" s="6" t="s">
        <v>68</v>
      </c>
      <c r="U184" s="6">
        <v>0</v>
      </c>
      <c r="Z184" s="8">
        <v>45868</v>
      </c>
      <c r="AA184" s="6" t="s">
        <v>2264</v>
      </c>
    </row>
    <row r="185" spans="1:27" x14ac:dyDescent="0.25">
      <c r="A185" s="8">
        <v>45868</v>
      </c>
      <c r="B185" s="6" t="s">
        <v>356</v>
      </c>
      <c r="C185" s="6" t="s">
        <v>1574</v>
      </c>
      <c r="D185" s="6" t="s">
        <v>36</v>
      </c>
      <c r="E185" s="6" t="str">
        <f>VLOOKUP(D185,'shipping inf'!B:D,2,FALSE)</f>
        <v>TP Hồ Chí Minh</v>
      </c>
      <c r="F185" s="6" t="s">
        <v>698</v>
      </c>
      <c r="G185" s="6">
        <v>80</v>
      </c>
      <c r="H185" s="6">
        <v>2511600204</v>
      </c>
      <c r="I185" s="6" t="s">
        <v>1370</v>
      </c>
      <c r="J185" s="6">
        <v>24</v>
      </c>
      <c r="K185" s="6">
        <v>12</v>
      </c>
      <c r="L185" s="6" t="s">
        <v>19</v>
      </c>
      <c r="M185" s="6" t="s">
        <v>357</v>
      </c>
      <c r="N185" s="6" t="str">
        <f>VLOOKUP(Table1[[#This Row],[elevator_traction_machine]],'Product inf'!A:B,2,FALSE)</f>
        <v>SP004</v>
      </c>
      <c r="O185" s="6" t="s">
        <v>3</v>
      </c>
      <c r="P185" s="6" t="s">
        <v>4</v>
      </c>
      <c r="Q185" s="6" t="s">
        <v>358</v>
      </c>
      <c r="R185" s="6" t="s">
        <v>359</v>
      </c>
      <c r="U185" s="6">
        <v>0</v>
      </c>
      <c r="Z185" s="8">
        <v>45868</v>
      </c>
      <c r="AA185" s="6" t="s">
        <v>2264</v>
      </c>
    </row>
    <row r="186" spans="1:27" x14ac:dyDescent="0.25">
      <c r="A186" s="8">
        <v>45868</v>
      </c>
      <c r="B186" s="6" t="s">
        <v>356</v>
      </c>
      <c r="C186" s="6" t="s">
        <v>1575</v>
      </c>
      <c r="D186" s="6" t="s">
        <v>36</v>
      </c>
      <c r="E186" s="6" t="str">
        <f>VLOOKUP(D186,'shipping inf'!B:D,2,FALSE)</f>
        <v>TP Hồ Chí Minh</v>
      </c>
      <c r="F186" s="6" t="s">
        <v>698</v>
      </c>
      <c r="G186" s="6">
        <v>80</v>
      </c>
      <c r="H186" s="6">
        <v>2511600204</v>
      </c>
      <c r="I186" s="6" t="s">
        <v>1370</v>
      </c>
      <c r="J186" s="6">
        <v>24</v>
      </c>
      <c r="K186" s="6">
        <v>12</v>
      </c>
      <c r="L186" s="6" t="s">
        <v>19</v>
      </c>
      <c r="M186" s="6" t="s">
        <v>357</v>
      </c>
      <c r="N186" s="6" t="str">
        <f>VLOOKUP(Table1[[#This Row],[elevator_traction_machine]],'Product inf'!A:B,2,FALSE)</f>
        <v>SP004</v>
      </c>
      <c r="O186" s="6" t="s">
        <v>3</v>
      </c>
      <c r="P186" s="6" t="s">
        <v>4</v>
      </c>
      <c r="Q186" s="6" t="s">
        <v>358</v>
      </c>
      <c r="R186" s="6" t="s">
        <v>359</v>
      </c>
      <c r="U186" s="6">
        <v>0</v>
      </c>
      <c r="Z186" s="8">
        <v>45868</v>
      </c>
      <c r="AA186" s="6" t="s">
        <v>2264</v>
      </c>
    </row>
    <row r="187" spans="1:27" x14ac:dyDescent="0.25">
      <c r="A187" s="8">
        <v>46060</v>
      </c>
      <c r="B187" s="6" t="s">
        <v>488</v>
      </c>
      <c r="C187" s="6" t="s">
        <v>1576</v>
      </c>
      <c r="D187" s="6" t="s">
        <v>48</v>
      </c>
      <c r="E187" s="6" t="str">
        <f>VLOOKUP(D187,'shipping inf'!B:D,2,FALSE)</f>
        <v>Đồng Nai</v>
      </c>
      <c r="F187" s="6" t="s">
        <v>699</v>
      </c>
      <c r="G187" s="6">
        <v>90</v>
      </c>
      <c r="H187" s="6">
        <v>2611600201</v>
      </c>
      <c r="I187" s="6" t="s">
        <v>1370</v>
      </c>
      <c r="J187" s="6">
        <v>24</v>
      </c>
      <c r="K187" s="6">
        <v>24</v>
      </c>
      <c r="L187" s="6" t="s">
        <v>15</v>
      </c>
      <c r="M187" s="6" t="s">
        <v>37</v>
      </c>
      <c r="N187" s="6" t="str">
        <f>VLOOKUP(Table1[[#This Row],[elevator_traction_machine]],'Product inf'!A:B,2,FALSE)</f>
        <v>SP006</v>
      </c>
      <c r="O187" s="6" t="s">
        <v>8</v>
      </c>
      <c r="P187" s="6" t="s">
        <v>9</v>
      </c>
      <c r="Q187" s="6" t="s">
        <v>67</v>
      </c>
      <c r="R187" s="6" t="s">
        <v>68</v>
      </c>
      <c r="S187" s="6">
        <v>563750000</v>
      </c>
      <c r="U187" s="6">
        <v>563750000</v>
      </c>
      <c r="V187" s="6">
        <v>560550000</v>
      </c>
      <c r="X187" s="6">
        <v>20000000</v>
      </c>
      <c r="Y187" s="6">
        <v>12000000</v>
      </c>
      <c r="Z187" s="8">
        <v>46062</v>
      </c>
      <c r="AA187" s="6" t="s">
        <v>2411</v>
      </c>
    </row>
    <row r="188" spans="1:27" x14ac:dyDescent="0.25">
      <c r="A188" s="8">
        <v>45806</v>
      </c>
      <c r="B188" s="6" t="s">
        <v>318</v>
      </c>
      <c r="C188" s="6" t="s">
        <v>1577</v>
      </c>
      <c r="D188" s="6" t="s">
        <v>36</v>
      </c>
      <c r="E188" s="6" t="str">
        <f>VLOOKUP(D188,'shipping inf'!B:D,2,FALSE)</f>
        <v>TP Hồ Chí Minh</v>
      </c>
      <c r="F188" s="6" t="s">
        <v>700</v>
      </c>
      <c r="G188" s="6">
        <v>130</v>
      </c>
      <c r="H188" s="6">
        <v>2511600301</v>
      </c>
      <c r="I188" s="6" t="s">
        <v>1370</v>
      </c>
      <c r="J188" s="6">
        <v>24</v>
      </c>
      <c r="K188" s="6">
        <v>60</v>
      </c>
      <c r="L188" s="6" t="s">
        <v>19</v>
      </c>
      <c r="M188" s="6" t="s">
        <v>37</v>
      </c>
      <c r="N188" s="6" t="str">
        <f>VLOOKUP(Table1[[#This Row],[elevator_traction_machine]],'Product inf'!A:B,2,FALSE)</f>
        <v>SP001</v>
      </c>
      <c r="O188" s="6" t="s">
        <v>3</v>
      </c>
      <c r="P188" s="6" t="s">
        <v>9</v>
      </c>
      <c r="Q188" s="6" t="s">
        <v>252</v>
      </c>
      <c r="R188" s="6" t="s">
        <v>68</v>
      </c>
      <c r="S188" s="6">
        <v>589100000</v>
      </c>
      <c r="U188" s="6">
        <v>589100000</v>
      </c>
      <c r="V188" s="6">
        <v>587900000</v>
      </c>
      <c r="X188" s="6">
        <v>40000000</v>
      </c>
      <c r="Y188" s="6">
        <v>10000000</v>
      </c>
      <c r="Z188" s="8">
        <v>45810</v>
      </c>
      <c r="AA188" s="6" t="s">
        <v>2222</v>
      </c>
    </row>
    <row r="189" spans="1:27" x14ac:dyDescent="0.25">
      <c r="A189" s="8">
        <v>45834</v>
      </c>
      <c r="B189" s="6" t="s">
        <v>335</v>
      </c>
      <c r="C189" s="6" t="s">
        <v>1578</v>
      </c>
      <c r="D189" s="6" t="s">
        <v>36</v>
      </c>
      <c r="E189" s="6" t="str">
        <f>VLOOKUP(D189,'shipping inf'!B:D,2,FALSE)</f>
        <v>TP Hồ Chí Minh</v>
      </c>
      <c r="F189" s="6" t="s">
        <v>701</v>
      </c>
      <c r="G189" s="6">
        <v>120</v>
      </c>
      <c r="H189" s="6">
        <v>2511600401</v>
      </c>
      <c r="I189" s="6" t="s">
        <v>1370</v>
      </c>
      <c r="J189" s="6">
        <v>24</v>
      </c>
      <c r="K189" s="6">
        <v>24</v>
      </c>
      <c r="L189" s="6" t="s">
        <v>15</v>
      </c>
      <c r="M189" s="6" t="s">
        <v>37</v>
      </c>
      <c r="N189" s="6" t="str">
        <f>VLOOKUP(Table1[[#This Row],[elevator_traction_machine]],'Product inf'!A:B,2,FALSE)</f>
        <v>SP006</v>
      </c>
      <c r="O189" s="6" t="s">
        <v>3</v>
      </c>
      <c r="P189" s="6" t="s">
        <v>9</v>
      </c>
      <c r="Q189" s="6" t="s">
        <v>67</v>
      </c>
      <c r="R189" s="6" t="s">
        <v>68</v>
      </c>
      <c r="S189" s="6">
        <v>358300000</v>
      </c>
      <c r="U189" s="6">
        <v>358300000</v>
      </c>
      <c r="V189" s="6">
        <v>368215000</v>
      </c>
      <c r="X189" s="6">
        <v>5000000</v>
      </c>
      <c r="Y189" s="6">
        <v>6000000</v>
      </c>
      <c r="Z189" s="8">
        <v>45835</v>
      </c>
      <c r="AA189" s="6" t="s">
        <v>2243</v>
      </c>
    </row>
    <row r="190" spans="1:27" x14ac:dyDescent="0.25">
      <c r="A190" s="8">
        <v>45838</v>
      </c>
      <c r="B190" s="6" t="s">
        <v>340</v>
      </c>
      <c r="C190" s="6" t="s">
        <v>1579</v>
      </c>
      <c r="D190" s="6" t="s">
        <v>47</v>
      </c>
      <c r="E190" s="6" t="str">
        <f>VLOOKUP(D190,'shipping inf'!B:D,2,FALSE)</f>
        <v>Tây Ninh</v>
      </c>
      <c r="F190" s="6" t="s">
        <v>702</v>
      </c>
      <c r="G190" s="6">
        <v>75</v>
      </c>
      <c r="H190" s="6">
        <v>2511600501</v>
      </c>
      <c r="I190" s="6" t="s">
        <v>1370</v>
      </c>
      <c r="J190" s="6">
        <v>24</v>
      </c>
      <c r="K190" s="6">
        <v>24</v>
      </c>
      <c r="L190" s="6" t="s">
        <v>19</v>
      </c>
      <c r="M190" s="6" t="s">
        <v>37</v>
      </c>
      <c r="N190" s="6" t="str">
        <f>VLOOKUP(Table1[[#This Row],[elevator_traction_machine]],'Product inf'!A:B,2,FALSE)</f>
        <v>SP002</v>
      </c>
      <c r="O190" s="6" t="s">
        <v>3</v>
      </c>
      <c r="P190" s="6" t="s">
        <v>9</v>
      </c>
      <c r="Q190" s="6" t="s">
        <v>341</v>
      </c>
      <c r="R190" s="6" t="s">
        <v>68</v>
      </c>
      <c r="S190" s="6">
        <v>360000000</v>
      </c>
      <c r="U190" s="6">
        <v>360000000</v>
      </c>
      <c r="V190" s="6">
        <v>379300000</v>
      </c>
      <c r="Y190" s="6">
        <v>6000000</v>
      </c>
      <c r="Z190" s="8">
        <v>45840</v>
      </c>
      <c r="AA190" s="6" t="s">
        <v>2243</v>
      </c>
    </row>
    <row r="191" spans="1:27" x14ac:dyDescent="0.25">
      <c r="A191" s="8">
        <v>45868</v>
      </c>
      <c r="B191" s="6" t="s">
        <v>361</v>
      </c>
      <c r="C191" s="6" t="s">
        <v>1580</v>
      </c>
      <c r="D191" s="6" t="s">
        <v>36</v>
      </c>
      <c r="E191" s="6" t="str">
        <f>VLOOKUP(D191,'shipping inf'!B:D,2,FALSE)</f>
        <v>TP Hồ Chí Minh</v>
      </c>
      <c r="F191" s="6" t="s">
        <v>703</v>
      </c>
      <c r="G191" s="6">
        <v>120</v>
      </c>
      <c r="H191" s="6">
        <v>2511600601</v>
      </c>
      <c r="I191" s="6" t="s">
        <v>1370</v>
      </c>
      <c r="J191" s="6">
        <v>36</v>
      </c>
      <c r="K191" s="6">
        <v>36</v>
      </c>
      <c r="L191" s="6" t="s">
        <v>15</v>
      </c>
      <c r="M191" s="6" t="s">
        <v>37</v>
      </c>
      <c r="N191" s="6" t="str">
        <f>VLOOKUP(Table1[[#This Row],[elevator_traction_machine]],'Product inf'!A:B,2,FALSE)</f>
        <v>SP006</v>
      </c>
      <c r="O191" s="6" t="s">
        <v>3</v>
      </c>
      <c r="P191" s="6" t="s">
        <v>9</v>
      </c>
      <c r="Q191" s="6" t="s">
        <v>67</v>
      </c>
      <c r="R191" s="6" t="s">
        <v>68</v>
      </c>
      <c r="S191" s="6">
        <v>350000000</v>
      </c>
      <c r="U191" s="6">
        <v>350000000</v>
      </c>
      <c r="V191" s="6">
        <v>364800000</v>
      </c>
      <c r="Y191" s="6">
        <v>6000000</v>
      </c>
      <c r="Z191" s="8">
        <v>45869</v>
      </c>
      <c r="AA191" s="6" t="s">
        <v>2264</v>
      </c>
    </row>
    <row r="192" spans="1:27" x14ac:dyDescent="0.25">
      <c r="A192" s="8">
        <v>45953</v>
      </c>
      <c r="B192" s="6" t="s">
        <v>424</v>
      </c>
      <c r="C192" s="6" t="s">
        <v>1581</v>
      </c>
      <c r="D192" s="6" t="s">
        <v>36</v>
      </c>
      <c r="E192" s="6" t="str">
        <f>VLOOKUP(D192,'shipping inf'!B:D,2,FALSE)</f>
        <v>TP Hồ Chí Minh</v>
      </c>
      <c r="F192" s="6" t="s">
        <v>1355</v>
      </c>
      <c r="G192" s="6">
        <v>75</v>
      </c>
      <c r="H192" s="6">
        <v>2511600701</v>
      </c>
      <c r="I192" s="6" t="s">
        <v>1370</v>
      </c>
      <c r="J192" s="6">
        <v>24</v>
      </c>
      <c r="K192" s="6">
        <v>24</v>
      </c>
      <c r="L192" s="6" t="s">
        <v>15</v>
      </c>
      <c r="M192" s="6" t="s">
        <v>37</v>
      </c>
      <c r="N192" s="6" t="str">
        <f>VLOOKUP(Table1[[#This Row],[elevator_traction_machine]],'Product inf'!A:B,2,FALSE)</f>
        <v>SP006</v>
      </c>
      <c r="O192" s="6" t="s">
        <v>8</v>
      </c>
      <c r="P192" s="6" t="s">
        <v>9</v>
      </c>
      <c r="Q192" s="6" t="s">
        <v>67</v>
      </c>
      <c r="R192" s="6" t="s">
        <v>68</v>
      </c>
      <c r="S192" s="6">
        <v>606900000</v>
      </c>
      <c r="U192" s="6">
        <v>606900000</v>
      </c>
      <c r="V192" s="6">
        <v>606900000</v>
      </c>
      <c r="X192" s="6">
        <v>5000000</v>
      </c>
      <c r="Y192" s="6">
        <v>12000000</v>
      </c>
      <c r="Z192" s="8">
        <v>45953</v>
      </c>
      <c r="AA192" s="6" t="s">
        <v>2327</v>
      </c>
    </row>
    <row r="193" spans="1:27" x14ac:dyDescent="0.25">
      <c r="A193" s="8">
        <v>46032</v>
      </c>
      <c r="B193" s="6" t="s">
        <v>475</v>
      </c>
      <c r="C193" s="6" t="s">
        <v>1582</v>
      </c>
      <c r="D193" s="6" t="s">
        <v>59</v>
      </c>
      <c r="E193" s="6" t="str">
        <f>VLOOKUP(D193,'shipping inf'!B:D,2,FALSE)</f>
        <v>Hưng Yên</v>
      </c>
      <c r="F193" s="6" t="s">
        <v>704</v>
      </c>
      <c r="G193" s="6">
        <v>150</v>
      </c>
      <c r="H193" s="6">
        <v>2510106101</v>
      </c>
      <c r="I193" s="6" t="s">
        <v>1375</v>
      </c>
      <c r="J193" s="6">
        <v>24</v>
      </c>
      <c r="K193" s="6">
        <v>24</v>
      </c>
      <c r="L193" s="6" t="s">
        <v>2</v>
      </c>
      <c r="M193" s="6" t="s">
        <v>37</v>
      </c>
      <c r="N193" s="6" t="str">
        <f>VLOOKUP(Table1[[#This Row],[elevator_traction_machine]],'Product inf'!A:B,2,FALSE)</f>
        <v>SP007</v>
      </c>
      <c r="O193" s="6" t="s">
        <v>3</v>
      </c>
      <c r="P193" s="6" t="s">
        <v>9</v>
      </c>
      <c r="Q193" s="6" t="s">
        <v>140</v>
      </c>
      <c r="R193" s="6" t="s">
        <v>68</v>
      </c>
      <c r="S193" s="6">
        <v>534009000</v>
      </c>
      <c r="T193" s="6">
        <v>708000000</v>
      </c>
      <c r="U193" s="6">
        <v>1242009000</v>
      </c>
      <c r="V193" s="6">
        <v>508000000</v>
      </c>
      <c r="X193" s="6">
        <v>300000000</v>
      </c>
      <c r="Y193" s="6">
        <v>198500000</v>
      </c>
      <c r="Z193" s="8">
        <v>46037</v>
      </c>
      <c r="AA193" s="6" t="s">
        <v>2395</v>
      </c>
    </row>
    <row r="194" spans="1:27" x14ac:dyDescent="0.25">
      <c r="A194" s="8">
        <v>46032</v>
      </c>
      <c r="B194" s="6" t="s">
        <v>475</v>
      </c>
      <c r="C194" s="6" t="s">
        <v>1583</v>
      </c>
      <c r="D194" s="6" t="s">
        <v>59</v>
      </c>
      <c r="E194" s="6" t="str">
        <f>VLOOKUP(D194,'shipping inf'!B:D,2,FALSE)</f>
        <v>Hưng Yên</v>
      </c>
      <c r="F194" s="6" t="s">
        <v>704</v>
      </c>
      <c r="G194" s="6">
        <v>150</v>
      </c>
      <c r="H194" s="6">
        <v>2510106102</v>
      </c>
      <c r="I194" s="6" t="s">
        <v>1375</v>
      </c>
      <c r="J194" s="6">
        <v>24</v>
      </c>
      <c r="K194" s="6">
        <v>24</v>
      </c>
      <c r="L194" s="6" t="s">
        <v>2</v>
      </c>
      <c r="M194" s="6" t="s">
        <v>37</v>
      </c>
      <c r="N194" s="6" t="str">
        <f>VLOOKUP(Table1[[#This Row],[elevator_traction_machine]],'Product inf'!A:B,2,FALSE)</f>
        <v>SP007</v>
      </c>
      <c r="O194" s="6" t="s">
        <v>3</v>
      </c>
      <c r="P194" s="6" t="s">
        <v>4</v>
      </c>
      <c r="Q194" s="6" t="s">
        <v>140</v>
      </c>
      <c r="R194" s="6" t="s">
        <v>68</v>
      </c>
      <c r="S194" s="6">
        <v>655376000</v>
      </c>
      <c r="U194" s="6">
        <v>655376000</v>
      </c>
      <c r="V194" s="6">
        <v>623000000</v>
      </c>
      <c r="Z194" s="8">
        <v>46037</v>
      </c>
      <c r="AA194" s="6" t="s">
        <v>2395</v>
      </c>
    </row>
    <row r="195" spans="1:27" x14ac:dyDescent="0.25">
      <c r="A195" s="8">
        <v>46032</v>
      </c>
      <c r="B195" s="6" t="s">
        <v>475</v>
      </c>
      <c r="C195" s="6" t="s">
        <v>1584</v>
      </c>
      <c r="D195" s="6" t="s">
        <v>59</v>
      </c>
      <c r="E195" s="6" t="str">
        <f>VLOOKUP(D195,'shipping inf'!B:D,2,FALSE)</f>
        <v>Hưng Yên</v>
      </c>
      <c r="F195" s="6" t="s">
        <v>704</v>
      </c>
      <c r="G195" s="6">
        <v>150</v>
      </c>
      <c r="H195" s="6">
        <v>2510106103</v>
      </c>
      <c r="I195" s="6" t="s">
        <v>1375</v>
      </c>
      <c r="J195" s="6">
        <v>24</v>
      </c>
      <c r="K195" s="6">
        <v>24</v>
      </c>
      <c r="L195" s="6" t="s">
        <v>2</v>
      </c>
      <c r="M195" s="6" t="s">
        <v>37</v>
      </c>
      <c r="N195" s="6" t="str">
        <f>VLOOKUP(Table1[[#This Row],[elevator_traction_machine]],'Product inf'!A:B,2,FALSE)</f>
        <v>SP007</v>
      </c>
      <c r="O195" s="6" t="s">
        <v>3</v>
      </c>
      <c r="P195" s="6" t="s">
        <v>4</v>
      </c>
      <c r="Q195" s="6" t="s">
        <v>140</v>
      </c>
      <c r="R195" s="6" t="s">
        <v>68</v>
      </c>
      <c r="S195" s="6">
        <v>655376000</v>
      </c>
      <c r="U195" s="6">
        <v>655376000</v>
      </c>
      <c r="V195" s="6">
        <v>623000000</v>
      </c>
      <c r="Z195" s="8">
        <v>46037</v>
      </c>
      <c r="AA195" s="6" t="s">
        <v>2395</v>
      </c>
    </row>
    <row r="196" spans="1:27" x14ac:dyDescent="0.25">
      <c r="A196" s="8">
        <v>46032</v>
      </c>
      <c r="B196" s="6" t="s">
        <v>475</v>
      </c>
      <c r="C196" s="6" t="s">
        <v>1585</v>
      </c>
      <c r="D196" s="6" t="s">
        <v>59</v>
      </c>
      <c r="E196" s="6" t="str">
        <f>VLOOKUP(D196,'shipping inf'!B:D,2,FALSE)</f>
        <v>Hưng Yên</v>
      </c>
      <c r="F196" s="6" t="s">
        <v>704</v>
      </c>
      <c r="G196" s="6">
        <v>150</v>
      </c>
      <c r="H196" s="6">
        <v>2510106104</v>
      </c>
      <c r="I196" s="6" t="s">
        <v>1375</v>
      </c>
      <c r="J196" s="6">
        <v>24</v>
      </c>
      <c r="K196" s="6">
        <v>24</v>
      </c>
      <c r="L196" s="6" t="s">
        <v>2</v>
      </c>
      <c r="M196" s="6" t="s">
        <v>37</v>
      </c>
      <c r="N196" s="6" t="str">
        <f>VLOOKUP(Table1[[#This Row],[elevator_traction_machine]],'Product inf'!A:B,2,FALSE)</f>
        <v>SP007</v>
      </c>
      <c r="O196" s="6" t="s">
        <v>3</v>
      </c>
      <c r="P196" s="6" t="s">
        <v>4</v>
      </c>
      <c r="Q196" s="6" t="s">
        <v>140</v>
      </c>
      <c r="R196" s="6" t="s">
        <v>68</v>
      </c>
      <c r="S196" s="6">
        <v>655376000</v>
      </c>
      <c r="U196" s="6">
        <v>655376000</v>
      </c>
      <c r="V196" s="6">
        <v>623000000</v>
      </c>
      <c r="Z196" s="8">
        <v>46037</v>
      </c>
      <c r="AA196" s="6" t="s">
        <v>2395</v>
      </c>
    </row>
    <row r="197" spans="1:27" x14ac:dyDescent="0.25">
      <c r="A197" s="8">
        <v>46032</v>
      </c>
      <c r="B197" s="6" t="s">
        <v>475</v>
      </c>
      <c r="C197" s="6" t="s">
        <v>1586</v>
      </c>
      <c r="D197" s="6" t="s">
        <v>59</v>
      </c>
      <c r="E197" s="6" t="str">
        <f>VLOOKUP(D197,'shipping inf'!B:D,2,FALSE)</f>
        <v>Hưng Yên</v>
      </c>
      <c r="F197" s="6" t="s">
        <v>704</v>
      </c>
      <c r="G197" s="6">
        <v>150</v>
      </c>
      <c r="H197" s="6">
        <v>2510106105</v>
      </c>
      <c r="I197" s="6" t="s">
        <v>1375</v>
      </c>
      <c r="J197" s="6">
        <v>24</v>
      </c>
      <c r="K197" s="6">
        <v>24</v>
      </c>
      <c r="L197" s="6" t="s">
        <v>2</v>
      </c>
      <c r="M197" s="6" t="s">
        <v>37</v>
      </c>
      <c r="N197" s="6" t="str">
        <f>VLOOKUP(Table1[[#This Row],[elevator_traction_machine]],'Product inf'!A:B,2,FALSE)</f>
        <v>SP007</v>
      </c>
      <c r="O197" s="6" t="s">
        <v>3</v>
      </c>
      <c r="P197" s="6" t="s">
        <v>4</v>
      </c>
      <c r="Q197" s="6" t="s">
        <v>140</v>
      </c>
      <c r="R197" s="6" t="s">
        <v>68</v>
      </c>
      <c r="S197" s="6">
        <v>655376000</v>
      </c>
      <c r="U197" s="6">
        <v>655376000</v>
      </c>
      <c r="V197" s="6">
        <v>623000000</v>
      </c>
      <c r="Z197" s="8">
        <v>46037</v>
      </c>
      <c r="AA197" s="6" t="s">
        <v>2395</v>
      </c>
    </row>
    <row r="198" spans="1:27" x14ac:dyDescent="0.25">
      <c r="A198" s="8">
        <v>46032</v>
      </c>
      <c r="B198" s="6" t="s">
        <v>475</v>
      </c>
      <c r="C198" s="6" t="s">
        <v>1587</v>
      </c>
      <c r="D198" s="6" t="s">
        <v>59</v>
      </c>
      <c r="E198" s="6" t="str">
        <f>VLOOKUP(D198,'shipping inf'!B:D,2,FALSE)</f>
        <v>Hưng Yên</v>
      </c>
      <c r="F198" s="6" t="s">
        <v>704</v>
      </c>
      <c r="G198" s="6">
        <v>150</v>
      </c>
      <c r="H198" s="6">
        <v>2510106106</v>
      </c>
      <c r="I198" s="6" t="s">
        <v>1375</v>
      </c>
      <c r="J198" s="6">
        <v>24</v>
      </c>
      <c r="K198" s="6">
        <v>24</v>
      </c>
      <c r="L198" s="6" t="s">
        <v>2</v>
      </c>
      <c r="M198" s="6" t="s">
        <v>37</v>
      </c>
      <c r="N198" s="6" t="str">
        <f>VLOOKUP(Table1[[#This Row],[elevator_traction_machine]],'Product inf'!A:B,2,FALSE)</f>
        <v>SP007</v>
      </c>
      <c r="O198" s="6" t="s">
        <v>3</v>
      </c>
      <c r="P198" s="6" t="s">
        <v>4</v>
      </c>
      <c r="Q198" s="6" t="s">
        <v>140</v>
      </c>
      <c r="R198" s="6" t="s">
        <v>68</v>
      </c>
      <c r="S198" s="6">
        <v>655376000</v>
      </c>
      <c r="U198" s="6">
        <v>655376000</v>
      </c>
      <c r="V198" s="6">
        <v>623000000</v>
      </c>
      <c r="Z198" s="8">
        <v>46037</v>
      </c>
      <c r="AA198" s="6" t="s">
        <v>2395</v>
      </c>
    </row>
    <row r="199" spans="1:27" x14ac:dyDescent="0.25">
      <c r="A199" s="8">
        <v>46032</v>
      </c>
      <c r="B199" s="6" t="s">
        <v>475</v>
      </c>
      <c r="C199" s="6" t="s">
        <v>1588</v>
      </c>
      <c r="D199" s="6" t="s">
        <v>59</v>
      </c>
      <c r="E199" s="6" t="str">
        <f>VLOOKUP(D199,'shipping inf'!B:D,2,FALSE)</f>
        <v>Hưng Yên</v>
      </c>
      <c r="F199" s="6" t="s">
        <v>704</v>
      </c>
      <c r="G199" s="6">
        <v>150</v>
      </c>
      <c r="H199" s="6">
        <v>2510106107</v>
      </c>
      <c r="I199" s="6" t="s">
        <v>1375</v>
      </c>
      <c r="J199" s="6">
        <v>24</v>
      </c>
      <c r="K199" s="6">
        <v>24</v>
      </c>
      <c r="L199" s="6" t="s">
        <v>2</v>
      </c>
      <c r="M199" s="6" t="s">
        <v>37</v>
      </c>
      <c r="N199" s="6" t="str">
        <f>VLOOKUP(Table1[[#This Row],[elevator_traction_machine]],'Product inf'!A:B,2,FALSE)</f>
        <v>SP007</v>
      </c>
      <c r="O199" s="6" t="s">
        <v>3</v>
      </c>
      <c r="P199" s="6" t="s">
        <v>4</v>
      </c>
      <c r="Q199" s="6" t="s">
        <v>140</v>
      </c>
      <c r="R199" s="6" t="s">
        <v>68</v>
      </c>
      <c r="S199" s="6">
        <v>655376000</v>
      </c>
      <c r="U199" s="6">
        <v>655376000</v>
      </c>
      <c r="V199" s="6">
        <v>623000000</v>
      </c>
      <c r="Z199" s="8">
        <v>46037</v>
      </c>
      <c r="AA199" s="6" t="s">
        <v>2395</v>
      </c>
    </row>
    <row r="200" spans="1:27" x14ac:dyDescent="0.25">
      <c r="A200" s="8">
        <v>46032</v>
      </c>
      <c r="B200" s="6" t="s">
        <v>475</v>
      </c>
      <c r="C200" s="6" t="s">
        <v>1589</v>
      </c>
      <c r="D200" s="6" t="s">
        <v>59</v>
      </c>
      <c r="E200" s="6" t="str">
        <f>VLOOKUP(D200,'shipping inf'!B:D,2,FALSE)</f>
        <v>Hưng Yên</v>
      </c>
      <c r="F200" s="6" t="s">
        <v>704</v>
      </c>
      <c r="G200" s="6">
        <v>150</v>
      </c>
      <c r="H200" s="6">
        <v>2510106108</v>
      </c>
      <c r="I200" s="6" t="s">
        <v>1375</v>
      </c>
      <c r="J200" s="6">
        <v>24</v>
      </c>
      <c r="K200" s="6">
        <v>24</v>
      </c>
      <c r="L200" s="6" t="s">
        <v>2</v>
      </c>
      <c r="M200" s="6" t="s">
        <v>37</v>
      </c>
      <c r="N200" s="6" t="str">
        <f>VLOOKUP(Table1[[#This Row],[elevator_traction_machine]],'Product inf'!A:B,2,FALSE)</f>
        <v>SP007</v>
      </c>
      <c r="O200" s="6" t="s">
        <v>3</v>
      </c>
      <c r="P200" s="6" t="s">
        <v>4</v>
      </c>
      <c r="Q200" s="6" t="s">
        <v>140</v>
      </c>
      <c r="R200" s="6" t="s">
        <v>68</v>
      </c>
      <c r="S200" s="6">
        <v>655376000</v>
      </c>
      <c r="U200" s="6">
        <v>655376000</v>
      </c>
      <c r="V200" s="6">
        <v>623000000</v>
      </c>
      <c r="Z200" s="8">
        <v>46037</v>
      </c>
      <c r="AA200" s="6" t="s">
        <v>2395</v>
      </c>
    </row>
    <row r="201" spans="1:27" x14ac:dyDescent="0.25">
      <c r="A201" s="8">
        <v>46032</v>
      </c>
      <c r="B201" s="6" t="s">
        <v>475</v>
      </c>
      <c r="C201" s="6" t="s">
        <v>1590</v>
      </c>
      <c r="D201" s="6" t="s">
        <v>59</v>
      </c>
      <c r="E201" s="6" t="str">
        <f>VLOOKUP(D201,'shipping inf'!B:D,2,FALSE)</f>
        <v>Hưng Yên</v>
      </c>
      <c r="F201" s="6" t="s">
        <v>704</v>
      </c>
      <c r="G201" s="6">
        <v>150</v>
      </c>
      <c r="H201" s="6">
        <v>2510106109</v>
      </c>
      <c r="I201" s="6" t="s">
        <v>1375</v>
      </c>
      <c r="J201" s="6">
        <v>24</v>
      </c>
      <c r="K201" s="6">
        <v>24</v>
      </c>
      <c r="L201" s="6" t="s">
        <v>2</v>
      </c>
      <c r="M201" s="6" t="s">
        <v>37</v>
      </c>
      <c r="N201" s="6" t="str">
        <f>VLOOKUP(Table1[[#This Row],[elevator_traction_machine]],'Product inf'!A:B,2,FALSE)</f>
        <v>SP007</v>
      </c>
      <c r="O201" s="6" t="s">
        <v>3</v>
      </c>
      <c r="P201" s="6" t="s">
        <v>4</v>
      </c>
      <c r="Q201" s="6" t="s">
        <v>140</v>
      </c>
      <c r="R201" s="6" t="s">
        <v>68</v>
      </c>
      <c r="S201" s="6">
        <v>655376000</v>
      </c>
      <c r="U201" s="6">
        <v>655376000</v>
      </c>
      <c r="V201" s="6">
        <v>623000000</v>
      </c>
      <c r="Z201" s="8">
        <v>46037</v>
      </c>
      <c r="AA201" s="6" t="s">
        <v>2395</v>
      </c>
    </row>
    <row r="202" spans="1:27" x14ac:dyDescent="0.25">
      <c r="A202" s="8">
        <v>46032</v>
      </c>
      <c r="B202" s="6" t="s">
        <v>475</v>
      </c>
      <c r="C202" s="6" t="s">
        <v>1591</v>
      </c>
      <c r="D202" s="6" t="s">
        <v>59</v>
      </c>
      <c r="E202" s="6" t="str">
        <f>VLOOKUP(D202,'shipping inf'!B:D,2,FALSE)</f>
        <v>Hưng Yên</v>
      </c>
      <c r="F202" s="6" t="s">
        <v>704</v>
      </c>
      <c r="G202" s="6">
        <v>150</v>
      </c>
      <c r="H202" s="6">
        <v>2510106110</v>
      </c>
      <c r="I202" s="6" t="s">
        <v>1375</v>
      </c>
      <c r="J202" s="6">
        <v>24</v>
      </c>
      <c r="K202" s="6">
        <v>24</v>
      </c>
      <c r="L202" s="6" t="s">
        <v>2</v>
      </c>
      <c r="M202" s="6" t="s">
        <v>37</v>
      </c>
      <c r="N202" s="6" t="str">
        <f>VLOOKUP(Table1[[#This Row],[elevator_traction_machine]],'Product inf'!A:B,2,FALSE)</f>
        <v>SP007</v>
      </c>
      <c r="O202" s="6" t="s">
        <v>3</v>
      </c>
      <c r="P202" s="6" t="s">
        <v>4</v>
      </c>
      <c r="Q202" s="6" t="s">
        <v>140</v>
      </c>
      <c r="R202" s="6" t="s">
        <v>68</v>
      </c>
      <c r="S202" s="6">
        <v>2305951000</v>
      </c>
      <c r="U202" s="6">
        <v>2305951000</v>
      </c>
      <c r="V202" s="6">
        <v>2321500000</v>
      </c>
      <c r="Z202" s="8">
        <v>46037</v>
      </c>
      <c r="AA202" s="6" t="s">
        <v>2395</v>
      </c>
    </row>
    <row r="203" spans="1:27" x14ac:dyDescent="0.25">
      <c r="A203" s="8">
        <v>46032</v>
      </c>
      <c r="B203" s="6" t="s">
        <v>475</v>
      </c>
      <c r="C203" s="6" t="s">
        <v>1592</v>
      </c>
      <c r="D203" s="6" t="s">
        <v>59</v>
      </c>
      <c r="E203" s="6" t="str">
        <f>VLOOKUP(D203,'shipping inf'!B:D,2,FALSE)</f>
        <v>Hưng Yên</v>
      </c>
      <c r="F203" s="6" t="s">
        <v>704</v>
      </c>
      <c r="G203" s="6">
        <v>150</v>
      </c>
      <c r="H203" s="6">
        <v>2510106111</v>
      </c>
      <c r="I203" s="6" t="s">
        <v>1375</v>
      </c>
      <c r="J203" s="6">
        <v>24</v>
      </c>
      <c r="K203" s="6">
        <v>24</v>
      </c>
      <c r="L203" s="6" t="s">
        <v>2</v>
      </c>
      <c r="M203" s="6" t="s">
        <v>37</v>
      </c>
      <c r="N203" s="6" t="str">
        <f>VLOOKUP(Table1[[#This Row],[elevator_traction_machine]],'Product inf'!A:B,2,FALSE)</f>
        <v>SP007</v>
      </c>
      <c r="O203" s="6" t="s">
        <v>3</v>
      </c>
      <c r="P203" s="6" t="s">
        <v>4</v>
      </c>
      <c r="Q203" s="6" t="s">
        <v>140</v>
      </c>
      <c r="R203" s="6" t="s">
        <v>68</v>
      </c>
      <c r="S203" s="6">
        <v>767032000</v>
      </c>
      <c r="U203" s="6">
        <v>767032000</v>
      </c>
      <c r="V203" s="6">
        <v>736500000</v>
      </c>
      <c r="Z203" s="8">
        <v>46037</v>
      </c>
      <c r="AA203" s="6" t="s">
        <v>2395</v>
      </c>
    </row>
    <row r="204" spans="1:27" x14ac:dyDescent="0.25">
      <c r="A204" s="8">
        <v>45988</v>
      </c>
      <c r="B204" s="6" t="s">
        <v>451</v>
      </c>
      <c r="C204" s="6" t="s">
        <v>1593</v>
      </c>
      <c r="D204" s="6" t="s">
        <v>36</v>
      </c>
      <c r="E204" s="6" t="str">
        <f>VLOOKUP(D204,'shipping inf'!B:D,2,FALSE)</f>
        <v>TP Hồ Chí Minh</v>
      </c>
      <c r="F204" s="6" t="s">
        <v>621</v>
      </c>
      <c r="G204" s="6">
        <v>75</v>
      </c>
      <c r="H204" s="6">
        <v>2510106201</v>
      </c>
      <c r="I204" s="6" t="s">
        <v>1375</v>
      </c>
      <c r="J204" s="6">
        <v>24</v>
      </c>
      <c r="K204" s="6">
        <v>12</v>
      </c>
      <c r="L204" s="6" t="s">
        <v>2</v>
      </c>
      <c r="M204" s="6" t="s">
        <v>37</v>
      </c>
      <c r="N204" s="6" t="str">
        <f>VLOOKUP(Table1[[#This Row],[elevator_traction_machine]],'Product inf'!A:B,2,FALSE)</f>
        <v>SP006</v>
      </c>
      <c r="O204" s="6" t="s">
        <v>3</v>
      </c>
      <c r="P204" s="6" t="s">
        <v>9</v>
      </c>
      <c r="Q204" s="6" t="s">
        <v>67</v>
      </c>
      <c r="R204" s="6" t="s">
        <v>68</v>
      </c>
      <c r="S204" s="6">
        <v>380000000</v>
      </c>
      <c r="U204" s="6">
        <v>380000000</v>
      </c>
      <c r="V204" s="6">
        <v>380000000</v>
      </c>
      <c r="X204" s="6">
        <v>12000000</v>
      </c>
      <c r="Y204" s="6">
        <v>5300000</v>
      </c>
      <c r="Z204" s="8">
        <v>45988</v>
      </c>
      <c r="AA204" s="6" t="s">
        <v>2353</v>
      </c>
    </row>
    <row r="205" spans="1:27" x14ac:dyDescent="0.25">
      <c r="A205" s="8">
        <v>46015</v>
      </c>
      <c r="B205" s="6" t="s">
        <v>469</v>
      </c>
      <c r="C205" s="6" t="s">
        <v>1594</v>
      </c>
      <c r="D205" s="6" t="s">
        <v>47</v>
      </c>
      <c r="E205" s="6" t="str">
        <f>VLOOKUP(D205,'shipping inf'!B:D,2,FALSE)</f>
        <v>Tây Ninh</v>
      </c>
      <c r="F205" s="6" t="s">
        <v>705</v>
      </c>
      <c r="G205" s="6">
        <v>120</v>
      </c>
      <c r="H205" s="6">
        <v>2510106301</v>
      </c>
      <c r="I205" s="6" t="s">
        <v>1375</v>
      </c>
      <c r="J205" s="6">
        <v>24</v>
      </c>
      <c r="K205" s="6">
        <v>24</v>
      </c>
      <c r="L205" s="6" t="s">
        <v>2</v>
      </c>
      <c r="M205" s="6" t="s">
        <v>37</v>
      </c>
      <c r="N205" s="6" t="str">
        <f>VLOOKUP(Table1[[#This Row],[elevator_traction_machine]],'Product inf'!A:B,2,FALSE)</f>
        <v>SP006</v>
      </c>
      <c r="O205" s="6" t="s">
        <v>8</v>
      </c>
      <c r="P205" s="6" t="s">
        <v>4</v>
      </c>
      <c r="Q205" s="6" t="s">
        <v>67</v>
      </c>
      <c r="R205" s="6" t="s">
        <v>68</v>
      </c>
      <c r="S205" s="6">
        <v>800250000</v>
      </c>
      <c r="T205" s="6">
        <v>64020000</v>
      </c>
      <c r="U205" s="6">
        <v>864270000</v>
      </c>
      <c r="V205" s="6">
        <v>794000000</v>
      </c>
      <c r="Y205" s="6">
        <v>18642700</v>
      </c>
      <c r="Z205" s="8">
        <v>46022</v>
      </c>
      <c r="AA205" s="6" t="s">
        <v>2374</v>
      </c>
    </row>
    <row r="206" spans="1:27" x14ac:dyDescent="0.25">
      <c r="A206" s="8">
        <v>46038</v>
      </c>
      <c r="B206" s="6" t="s">
        <v>476</v>
      </c>
      <c r="C206" s="6" t="s">
        <v>1595</v>
      </c>
      <c r="D206" s="6" t="s">
        <v>36</v>
      </c>
      <c r="E206" s="6" t="str">
        <f>VLOOKUP(D206,'shipping inf'!B:D,2,FALSE)</f>
        <v>TP Hồ Chí Minh</v>
      </c>
      <c r="F206" s="6" t="s">
        <v>706</v>
      </c>
      <c r="G206" s="6">
        <v>120</v>
      </c>
      <c r="H206" s="6">
        <v>2611700101</v>
      </c>
      <c r="I206" s="6" t="s">
        <v>1374</v>
      </c>
      <c r="J206" s="6">
        <v>24</v>
      </c>
      <c r="K206" s="6">
        <v>24</v>
      </c>
      <c r="L206" s="6" t="s">
        <v>15</v>
      </c>
      <c r="M206" s="6" t="s">
        <v>37</v>
      </c>
      <c r="N206" s="6" t="str">
        <f>VLOOKUP(Table1[[#This Row],[elevator_traction_machine]],'Product inf'!A:B,2,FALSE)</f>
        <v>SP006</v>
      </c>
      <c r="O206" s="6" t="s">
        <v>3</v>
      </c>
      <c r="P206" s="6" t="s">
        <v>9</v>
      </c>
      <c r="Q206" s="6" t="s">
        <v>67</v>
      </c>
      <c r="R206" s="6" t="s">
        <v>68</v>
      </c>
      <c r="S206" s="6">
        <v>372200000</v>
      </c>
      <c r="U206" s="6">
        <v>372200000</v>
      </c>
      <c r="V206" s="6">
        <v>372200000</v>
      </c>
      <c r="X206" s="6">
        <v>5000000</v>
      </c>
      <c r="Y206" s="6">
        <v>6000000</v>
      </c>
      <c r="Z206" s="8">
        <v>46039</v>
      </c>
      <c r="AA206" s="6" t="s">
        <v>2394</v>
      </c>
    </row>
    <row r="207" spans="1:27" x14ac:dyDescent="0.25">
      <c r="A207" s="8">
        <v>45943</v>
      </c>
      <c r="B207" s="6" t="s">
        <v>416</v>
      </c>
      <c r="C207" s="6" t="s">
        <v>1596</v>
      </c>
      <c r="D207" s="6" t="s">
        <v>36</v>
      </c>
      <c r="E207" s="6" t="str">
        <f>VLOOKUP(D207,'shipping inf'!B:D,2,FALSE)</f>
        <v>TP Hồ Chí Minh</v>
      </c>
      <c r="F207" s="6" t="s">
        <v>707</v>
      </c>
      <c r="G207" s="6">
        <v>120</v>
      </c>
      <c r="H207" s="6">
        <v>2511800101</v>
      </c>
      <c r="I207" s="6" t="s">
        <v>1376</v>
      </c>
      <c r="J207" s="6">
        <v>12</v>
      </c>
      <c r="K207" s="6">
        <v>12</v>
      </c>
      <c r="L207" s="6" t="s">
        <v>15</v>
      </c>
      <c r="M207" s="6" t="s">
        <v>417</v>
      </c>
      <c r="N207" s="6" t="str">
        <f>VLOOKUP(Table1[[#This Row],[elevator_traction_machine]],'Product inf'!A:B,2,FALSE)</f>
        <v>SP014</v>
      </c>
      <c r="O207" s="6" t="s">
        <v>8</v>
      </c>
      <c r="P207" s="6" t="s">
        <v>9</v>
      </c>
      <c r="Q207" s="6" t="s">
        <v>418</v>
      </c>
      <c r="R207" s="6" t="s">
        <v>419</v>
      </c>
      <c r="S207" s="6">
        <v>879629630</v>
      </c>
      <c r="T207" s="6">
        <v>70370370</v>
      </c>
      <c r="U207" s="6">
        <v>950000000</v>
      </c>
      <c r="V207" s="6">
        <v>879629630</v>
      </c>
      <c r="Z207" s="8">
        <v>45946</v>
      </c>
      <c r="AA207" s="6" t="s">
        <v>2333</v>
      </c>
    </row>
    <row r="208" spans="1:27" x14ac:dyDescent="0.25">
      <c r="A208" s="8">
        <v>45959</v>
      </c>
      <c r="B208" s="6" t="s">
        <v>429</v>
      </c>
      <c r="C208" s="6" t="s">
        <v>1597</v>
      </c>
      <c r="D208" s="6" t="s">
        <v>36</v>
      </c>
      <c r="E208" s="6" t="str">
        <f>VLOOKUP(D208,'shipping inf'!B:D,2,FALSE)</f>
        <v>TP Hồ Chí Minh</v>
      </c>
      <c r="F208" s="6" t="s">
        <v>708</v>
      </c>
      <c r="G208" s="6">
        <v>90</v>
      </c>
      <c r="H208" s="6">
        <v>2511800201</v>
      </c>
      <c r="I208" s="6" t="s">
        <v>1358</v>
      </c>
      <c r="J208" s="6">
        <v>24</v>
      </c>
      <c r="K208" s="6">
        <v>24</v>
      </c>
      <c r="L208" s="6" t="s">
        <v>2</v>
      </c>
      <c r="M208" s="6" t="s">
        <v>37</v>
      </c>
      <c r="N208" s="6" t="str">
        <f>VLOOKUP(Table1[[#This Row],[elevator_traction_machine]],'Product inf'!A:B,2,FALSE)</f>
        <v>SP006</v>
      </c>
      <c r="O208" s="6" t="s">
        <v>8</v>
      </c>
      <c r="P208" s="6" t="s">
        <v>9</v>
      </c>
      <c r="Q208" s="6" t="s">
        <v>67</v>
      </c>
      <c r="R208" s="6" t="s">
        <v>68</v>
      </c>
      <c r="S208" s="6">
        <v>490000000</v>
      </c>
      <c r="U208" s="6">
        <v>490000000</v>
      </c>
      <c r="V208" s="6">
        <v>509000000</v>
      </c>
      <c r="Y208" s="6">
        <v>5500000</v>
      </c>
      <c r="Z208" s="8">
        <v>45960</v>
      </c>
      <c r="AA208" s="6" t="s">
        <v>2334</v>
      </c>
    </row>
    <row r="209" spans="1:27" x14ac:dyDescent="0.25">
      <c r="A209" s="8">
        <v>45965</v>
      </c>
      <c r="B209" s="6" t="s">
        <v>435</v>
      </c>
      <c r="C209" s="6" t="s">
        <v>1598</v>
      </c>
      <c r="D209" s="6" t="s">
        <v>36</v>
      </c>
      <c r="E209" s="6" t="str">
        <f>VLOOKUP(D209,'shipping inf'!B:D,2,FALSE)</f>
        <v>TP Hồ Chí Minh</v>
      </c>
      <c r="F209" s="6" t="s">
        <v>709</v>
      </c>
      <c r="G209" s="6">
        <v>45</v>
      </c>
      <c r="H209" s="6">
        <v>2511800301</v>
      </c>
      <c r="I209" s="6" t="s">
        <v>1358</v>
      </c>
      <c r="J209" s="6">
        <v>24</v>
      </c>
      <c r="K209" s="6">
        <v>12</v>
      </c>
      <c r="L209" s="6" t="s">
        <v>19</v>
      </c>
      <c r="M209" s="6" t="s">
        <v>37</v>
      </c>
      <c r="N209" s="6" t="str">
        <f>VLOOKUP(Table1[[#This Row],[elevator_traction_machine]],'Product inf'!A:B,2,FALSE)</f>
        <v>SP006</v>
      </c>
      <c r="O209" s="6" t="s">
        <v>8</v>
      </c>
      <c r="P209" s="6" t="s">
        <v>9</v>
      </c>
      <c r="Q209" s="6" t="s">
        <v>67</v>
      </c>
      <c r="R209" s="6" t="s">
        <v>68</v>
      </c>
      <c r="S209" s="6">
        <v>615000000</v>
      </c>
      <c r="U209" s="6">
        <v>615000000</v>
      </c>
      <c r="V209" s="6">
        <v>629900000</v>
      </c>
      <c r="X209" s="6">
        <v>10000000</v>
      </c>
      <c r="Y209" s="6">
        <v>7500000</v>
      </c>
      <c r="Z209" s="8">
        <v>45966</v>
      </c>
      <c r="AA209" s="6" t="s">
        <v>2355</v>
      </c>
    </row>
    <row r="210" spans="1:27" x14ac:dyDescent="0.25">
      <c r="A210" s="8">
        <v>46021</v>
      </c>
      <c r="B210" s="6" t="s">
        <v>468</v>
      </c>
      <c r="C210" s="6" t="s">
        <v>1599</v>
      </c>
      <c r="D210" s="6" t="s">
        <v>47</v>
      </c>
      <c r="E210" s="6" t="str">
        <f>VLOOKUP(D210,'shipping inf'!B:D,2,FALSE)</f>
        <v>Tây Ninh</v>
      </c>
      <c r="F210" s="6" t="s">
        <v>707</v>
      </c>
      <c r="G210" s="6">
        <v>120</v>
      </c>
      <c r="H210" s="6">
        <v>2511800401</v>
      </c>
      <c r="I210" s="6" t="s">
        <v>1358</v>
      </c>
      <c r="J210" s="6">
        <v>24</v>
      </c>
      <c r="K210" s="6">
        <v>24</v>
      </c>
      <c r="L210" s="6" t="s">
        <v>2</v>
      </c>
      <c r="M210" s="6" t="s">
        <v>37</v>
      </c>
      <c r="N210" s="6" t="str">
        <f>VLOOKUP(Table1[[#This Row],[elevator_traction_machine]],'Product inf'!A:B,2,FALSE)</f>
        <v>SP006</v>
      </c>
      <c r="O210" s="6" t="s">
        <v>8</v>
      </c>
      <c r="P210" s="6" t="s">
        <v>9</v>
      </c>
      <c r="Q210" s="6" t="s">
        <v>67</v>
      </c>
      <c r="R210" s="6" t="s">
        <v>68</v>
      </c>
      <c r="S210" s="6">
        <v>1792000000</v>
      </c>
      <c r="T210" s="6">
        <v>143360000</v>
      </c>
      <c r="U210" s="6">
        <v>1935360000</v>
      </c>
      <c r="V210" s="6">
        <v>1792000000</v>
      </c>
      <c r="Y210" s="6">
        <v>14000000</v>
      </c>
      <c r="Z210" s="8">
        <v>46022</v>
      </c>
      <c r="AA210" s="6" t="s">
        <v>2376</v>
      </c>
    </row>
    <row r="211" spans="1:27" x14ac:dyDescent="0.25">
      <c r="A211" s="8">
        <v>46021</v>
      </c>
      <c r="B211" s="6" t="s">
        <v>468</v>
      </c>
      <c r="C211" s="6" t="s">
        <v>1600</v>
      </c>
      <c r="D211" s="6" t="s">
        <v>47</v>
      </c>
      <c r="E211" s="6" t="str">
        <f>VLOOKUP(D211,'shipping inf'!B:D,2,FALSE)</f>
        <v>Tây Ninh</v>
      </c>
      <c r="F211" s="6" t="s">
        <v>707</v>
      </c>
      <c r="G211" s="6">
        <v>120</v>
      </c>
      <c r="H211" s="6">
        <v>2511800402</v>
      </c>
      <c r="I211" s="6" t="s">
        <v>1358</v>
      </c>
      <c r="J211" s="6">
        <v>24</v>
      </c>
      <c r="K211" s="6">
        <v>24</v>
      </c>
      <c r="L211" s="6" t="s">
        <v>2</v>
      </c>
      <c r="M211" s="6" t="s">
        <v>37</v>
      </c>
      <c r="N211" s="6" t="str">
        <f>VLOOKUP(Table1[[#This Row],[elevator_traction_machine]],'Product inf'!A:B,2,FALSE)</f>
        <v>SP006</v>
      </c>
      <c r="O211" s="6" t="s">
        <v>8</v>
      </c>
      <c r="P211" s="6" t="s">
        <v>9</v>
      </c>
      <c r="Q211" s="6" t="s">
        <v>67</v>
      </c>
      <c r="R211" s="6" t="s">
        <v>68</v>
      </c>
      <c r="U211" s="6">
        <v>0</v>
      </c>
      <c r="Z211" s="8">
        <v>46022</v>
      </c>
      <c r="AA211" s="6" t="s">
        <v>2376</v>
      </c>
    </row>
    <row r="212" spans="1:27" x14ac:dyDescent="0.25">
      <c r="A212" s="8">
        <v>46021</v>
      </c>
      <c r="B212" s="6" t="s">
        <v>468</v>
      </c>
      <c r="C212" s="6" t="s">
        <v>1601</v>
      </c>
      <c r="D212" s="6" t="s">
        <v>47</v>
      </c>
      <c r="E212" s="6" t="str">
        <f>VLOOKUP(D212,'shipping inf'!B:D,2,FALSE)</f>
        <v>Tây Ninh</v>
      </c>
      <c r="F212" s="6" t="s">
        <v>707</v>
      </c>
      <c r="G212" s="6">
        <v>120</v>
      </c>
      <c r="H212" s="6">
        <v>2511800403</v>
      </c>
      <c r="I212" s="6" t="s">
        <v>1358</v>
      </c>
      <c r="J212" s="6">
        <v>24</v>
      </c>
      <c r="K212" s="6">
        <v>24</v>
      </c>
      <c r="L212" s="6" t="s">
        <v>2</v>
      </c>
      <c r="M212" s="6" t="s">
        <v>37</v>
      </c>
      <c r="N212" s="6" t="str">
        <f>VLOOKUP(Table1[[#This Row],[elevator_traction_machine]],'Product inf'!A:B,2,FALSE)</f>
        <v>SP006</v>
      </c>
      <c r="O212" s="6" t="s">
        <v>8</v>
      </c>
      <c r="P212" s="6" t="s">
        <v>9</v>
      </c>
      <c r="Q212" s="6" t="s">
        <v>67</v>
      </c>
      <c r="R212" s="6" t="s">
        <v>68</v>
      </c>
      <c r="U212" s="6">
        <v>0</v>
      </c>
      <c r="Z212" s="8">
        <v>46022</v>
      </c>
      <c r="AA212" s="6" t="s">
        <v>2376</v>
      </c>
    </row>
    <row r="213" spans="1:27" x14ac:dyDescent="0.25">
      <c r="A213" s="8">
        <v>46021</v>
      </c>
      <c r="B213" s="6" t="s">
        <v>468</v>
      </c>
      <c r="C213" s="6" t="s">
        <v>1602</v>
      </c>
      <c r="D213" s="6" t="s">
        <v>47</v>
      </c>
      <c r="E213" s="6" t="str">
        <f>VLOOKUP(D213,'shipping inf'!B:D,2,FALSE)</f>
        <v>Tây Ninh</v>
      </c>
      <c r="F213" s="6" t="s">
        <v>707</v>
      </c>
      <c r="G213" s="6">
        <v>120</v>
      </c>
      <c r="H213" s="6">
        <v>2511800404</v>
      </c>
      <c r="I213" s="6" t="s">
        <v>1358</v>
      </c>
      <c r="J213" s="6">
        <v>24</v>
      </c>
      <c r="K213" s="6">
        <v>24</v>
      </c>
      <c r="L213" s="6" t="s">
        <v>2</v>
      </c>
      <c r="M213" s="6" t="s">
        <v>37</v>
      </c>
      <c r="N213" s="6" t="str">
        <f>VLOOKUP(Table1[[#This Row],[elevator_traction_machine]],'Product inf'!A:B,2,FALSE)</f>
        <v>SP006</v>
      </c>
      <c r="O213" s="6" t="s">
        <v>8</v>
      </c>
      <c r="P213" s="6" t="s">
        <v>9</v>
      </c>
      <c r="Q213" s="6" t="s">
        <v>67</v>
      </c>
      <c r="R213" s="6" t="s">
        <v>68</v>
      </c>
      <c r="U213" s="6">
        <v>0</v>
      </c>
      <c r="Z213" s="8">
        <v>46022</v>
      </c>
      <c r="AA213" s="6" t="s">
        <v>2376</v>
      </c>
    </row>
    <row r="214" spans="1:27" x14ac:dyDescent="0.25">
      <c r="A214" s="8">
        <v>46014</v>
      </c>
      <c r="B214" s="6" t="s">
        <v>462</v>
      </c>
      <c r="C214" s="6" t="s">
        <v>1603</v>
      </c>
      <c r="D214" s="6" t="s">
        <v>36</v>
      </c>
      <c r="E214" s="6" t="str">
        <f>VLOOKUP(D214,'shipping inf'!B:D,2,FALSE)</f>
        <v>TP Hồ Chí Minh</v>
      </c>
      <c r="F214" s="6" t="s">
        <v>710</v>
      </c>
      <c r="G214" s="6">
        <v>90</v>
      </c>
      <c r="H214" s="6">
        <v>2511800501</v>
      </c>
      <c r="I214" s="6" t="s">
        <v>1358</v>
      </c>
      <c r="J214" s="6">
        <v>24</v>
      </c>
      <c r="K214" s="6">
        <v>12</v>
      </c>
      <c r="L214" s="6" t="s">
        <v>2</v>
      </c>
      <c r="M214" s="6" t="s">
        <v>37</v>
      </c>
      <c r="N214" s="6" t="str">
        <f>VLOOKUP(Table1[[#This Row],[elevator_traction_machine]],'Product inf'!A:B,2,FALSE)</f>
        <v>SP006</v>
      </c>
      <c r="O214" s="6" t="s">
        <v>8</v>
      </c>
      <c r="P214" s="6" t="s">
        <v>9</v>
      </c>
      <c r="Q214" s="6" t="s">
        <v>67</v>
      </c>
      <c r="R214" s="6" t="s">
        <v>267</v>
      </c>
      <c r="S214" s="6">
        <v>630000000</v>
      </c>
      <c r="T214" s="6">
        <v>50400000</v>
      </c>
      <c r="U214" s="6">
        <v>680400000</v>
      </c>
      <c r="V214" s="6">
        <v>645000000</v>
      </c>
      <c r="Y214" s="6">
        <v>7500000</v>
      </c>
      <c r="Z214" s="8">
        <v>46016</v>
      </c>
      <c r="AA214" s="6" t="s">
        <v>2376</v>
      </c>
    </row>
    <row r="215" spans="1:27" x14ac:dyDescent="0.25">
      <c r="A215" s="8">
        <v>45812</v>
      </c>
      <c r="B215" s="6" t="s">
        <v>320</v>
      </c>
      <c r="C215" s="6" t="s">
        <v>1604</v>
      </c>
      <c r="D215" s="6" t="s">
        <v>48</v>
      </c>
      <c r="E215" s="6" t="str">
        <f>VLOOKUP(D215,'shipping inf'!B:D,2,FALSE)</f>
        <v>Đồng Nai</v>
      </c>
      <c r="F215" s="6" t="s">
        <v>711</v>
      </c>
      <c r="G215" s="6">
        <v>210</v>
      </c>
      <c r="H215" s="6">
        <v>2511900101</v>
      </c>
      <c r="I215" s="6" t="s">
        <v>1371</v>
      </c>
      <c r="J215" s="6">
        <v>24</v>
      </c>
      <c r="K215" s="6">
        <v>24</v>
      </c>
      <c r="L215" s="6" t="s">
        <v>15</v>
      </c>
      <c r="M215" s="6" t="s">
        <v>37</v>
      </c>
      <c r="N215" s="6" t="str">
        <f>VLOOKUP(Table1[[#This Row],[elevator_traction_machine]],'Product inf'!A:B,2,FALSE)</f>
        <v>SP006</v>
      </c>
      <c r="O215" s="6" t="s">
        <v>3</v>
      </c>
      <c r="P215" s="6" t="s">
        <v>9</v>
      </c>
      <c r="Q215" s="6" t="s">
        <v>67</v>
      </c>
      <c r="R215" s="6" t="s">
        <v>68</v>
      </c>
      <c r="S215" s="6">
        <v>350000000</v>
      </c>
      <c r="U215" s="6">
        <v>350000000</v>
      </c>
      <c r="V215" s="6">
        <v>350500000</v>
      </c>
      <c r="X215" s="6">
        <v>10000000</v>
      </c>
      <c r="Y215" s="6">
        <v>6000000</v>
      </c>
      <c r="Z215" s="8">
        <v>45812</v>
      </c>
      <c r="AA215" s="6" t="s">
        <v>2244</v>
      </c>
    </row>
    <row r="216" spans="1:27" x14ac:dyDescent="0.25">
      <c r="A216" s="8">
        <v>46041</v>
      </c>
      <c r="B216" s="6" t="s">
        <v>477</v>
      </c>
      <c r="C216" s="6" t="s">
        <v>1605</v>
      </c>
      <c r="D216" s="6" t="s">
        <v>36</v>
      </c>
      <c r="E216" s="6" t="str">
        <f>VLOOKUP(D216,'shipping inf'!B:D,2,FALSE)</f>
        <v>TP Hồ Chí Minh</v>
      </c>
      <c r="F216" s="6" t="s">
        <v>712</v>
      </c>
      <c r="G216" s="6">
        <v>120</v>
      </c>
      <c r="H216" s="6">
        <v>2611900101</v>
      </c>
      <c r="I216" s="6" t="s">
        <v>1371</v>
      </c>
      <c r="J216" s="6">
        <v>24</v>
      </c>
      <c r="K216" s="6">
        <v>24</v>
      </c>
      <c r="L216" s="6" t="s">
        <v>15</v>
      </c>
      <c r="M216" s="6" t="s">
        <v>37</v>
      </c>
      <c r="N216" s="6" t="str">
        <f>VLOOKUP(Table1[[#This Row],[elevator_traction_machine]],'Product inf'!A:B,2,FALSE)</f>
        <v>SP006</v>
      </c>
      <c r="O216" s="6" t="s">
        <v>3</v>
      </c>
      <c r="P216" s="6" t="s">
        <v>9</v>
      </c>
      <c r="Q216" s="6" t="s">
        <v>67</v>
      </c>
      <c r="R216" s="6" t="s">
        <v>68</v>
      </c>
      <c r="S216" s="6">
        <v>380000000</v>
      </c>
      <c r="U216" s="6">
        <v>380000000</v>
      </c>
      <c r="V216" s="6">
        <v>379833333</v>
      </c>
      <c r="X216" s="6">
        <v>20000000</v>
      </c>
      <c r="Y216" s="6">
        <v>8000000</v>
      </c>
      <c r="Z216" s="8">
        <v>46045</v>
      </c>
      <c r="AA216" s="6" t="s">
        <v>2391</v>
      </c>
    </row>
    <row r="217" spans="1:27" x14ac:dyDescent="0.25">
      <c r="A217" s="8">
        <v>45832</v>
      </c>
      <c r="B217" s="6" t="s">
        <v>332</v>
      </c>
      <c r="C217" s="6" t="s">
        <v>1606</v>
      </c>
      <c r="D217" s="6" t="s">
        <v>52</v>
      </c>
      <c r="E217" s="6" t="str">
        <f>VLOOKUP(D217,'shipping inf'!B:D,2,FALSE)</f>
        <v>Đồng Tháp</v>
      </c>
      <c r="F217" s="6" t="s">
        <v>713</v>
      </c>
      <c r="G217" s="6">
        <v>90</v>
      </c>
      <c r="H217" s="6">
        <v>2511900201</v>
      </c>
      <c r="I217" s="6" t="s">
        <v>1371</v>
      </c>
      <c r="J217" s="6">
        <v>24</v>
      </c>
      <c r="K217" s="6">
        <v>24</v>
      </c>
      <c r="L217" s="6" t="s">
        <v>15</v>
      </c>
      <c r="M217" s="6" t="s">
        <v>37</v>
      </c>
      <c r="N217" s="6" t="str">
        <f>VLOOKUP(Table1[[#This Row],[elevator_traction_machine]],'Product inf'!A:B,2,FALSE)</f>
        <v>SP006</v>
      </c>
      <c r="O217" s="6" t="s">
        <v>3</v>
      </c>
      <c r="P217" s="6" t="s">
        <v>9</v>
      </c>
      <c r="Q217" s="6" t="s">
        <v>67</v>
      </c>
      <c r="R217" s="6" t="s">
        <v>68</v>
      </c>
      <c r="S217" s="6">
        <v>388000000</v>
      </c>
      <c r="U217" s="6">
        <v>388000000</v>
      </c>
      <c r="V217" s="6">
        <v>389100000</v>
      </c>
      <c r="W217" s="6">
        <v>5000000</v>
      </c>
      <c r="X217" s="6">
        <v>30000000</v>
      </c>
      <c r="Y217" s="6">
        <v>6000000</v>
      </c>
      <c r="Z217" s="8">
        <v>45833</v>
      </c>
      <c r="AA217" s="6" t="s">
        <v>2244</v>
      </c>
    </row>
    <row r="218" spans="1:27" x14ac:dyDescent="0.25">
      <c r="A218" s="8">
        <v>46039</v>
      </c>
      <c r="B218" s="6" t="s">
        <v>483</v>
      </c>
      <c r="C218" s="6" t="s">
        <v>1607</v>
      </c>
      <c r="D218" s="6" t="s">
        <v>36</v>
      </c>
      <c r="E218" s="6" t="str">
        <f>VLOOKUP(D218,'shipping inf'!B:D,2,FALSE)</f>
        <v>TP Hồ Chí Minh</v>
      </c>
      <c r="F218" s="6" t="s">
        <v>714</v>
      </c>
      <c r="G218" s="6">
        <v>80</v>
      </c>
      <c r="H218" s="6">
        <v>2611900201</v>
      </c>
      <c r="I218" s="6" t="s">
        <v>1371</v>
      </c>
      <c r="J218" s="6">
        <v>24</v>
      </c>
      <c r="K218" s="6">
        <v>24</v>
      </c>
      <c r="L218" s="6" t="s">
        <v>19</v>
      </c>
      <c r="M218" s="6" t="s">
        <v>37</v>
      </c>
      <c r="N218" s="6" t="str">
        <f>VLOOKUP(Table1[[#This Row],[elevator_traction_machine]],'Product inf'!A:B,2,FALSE)</f>
        <v>SP001</v>
      </c>
      <c r="O218" s="6" t="s">
        <v>3</v>
      </c>
      <c r="P218" s="6" t="s">
        <v>9</v>
      </c>
      <c r="Q218" s="6" t="s">
        <v>252</v>
      </c>
      <c r="R218" s="6" t="s">
        <v>68</v>
      </c>
      <c r="S218" s="6">
        <v>398000000</v>
      </c>
      <c r="U218" s="6">
        <v>398000000</v>
      </c>
      <c r="V218" s="6">
        <v>392633333</v>
      </c>
      <c r="X218" s="6">
        <v>20000000</v>
      </c>
      <c r="Y218" s="6">
        <v>10000000</v>
      </c>
      <c r="Z218" s="8">
        <v>46057</v>
      </c>
      <c r="AA218" s="6" t="s">
        <v>2391</v>
      </c>
    </row>
    <row r="219" spans="1:27" x14ac:dyDescent="0.25">
      <c r="A219" s="8">
        <v>45900</v>
      </c>
      <c r="B219" s="6" t="s">
        <v>388</v>
      </c>
      <c r="C219" s="6" t="s">
        <v>1608</v>
      </c>
      <c r="D219" s="6" t="s">
        <v>36</v>
      </c>
      <c r="E219" s="6" t="str">
        <f>VLOOKUP(D219,'shipping inf'!B:D,2,FALSE)</f>
        <v>TP Hồ Chí Minh</v>
      </c>
      <c r="F219" s="6" t="s">
        <v>715</v>
      </c>
      <c r="G219" s="6">
        <v>90</v>
      </c>
      <c r="H219" s="6">
        <v>2511900301</v>
      </c>
      <c r="I219" s="6" t="s">
        <v>1371</v>
      </c>
      <c r="J219" s="6">
        <v>24</v>
      </c>
      <c r="K219" s="6">
        <v>24</v>
      </c>
      <c r="L219" s="6" t="s">
        <v>17</v>
      </c>
      <c r="M219" s="6" t="s">
        <v>37</v>
      </c>
      <c r="N219" s="6" t="str">
        <f>VLOOKUP(Table1[[#This Row],[elevator_traction_machine]],'Product inf'!A:B,2,FALSE)</f>
        <v>SP006</v>
      </c>
      <c r="O219" s="6" t="s">
        <v>8</v>
      </c>
      <c r="P219" s="6" t="s">
        <v>9</v>
      </c>
      <c r="Q219" s="6" t="s">
        <v>67</v>
      </c>
      <c r="R219" s="6" t="s">
        <v>68</v>
      </c>
      <c r="S219" s="6">
        <v>678000000</v>
      </c>
      <c r="U219" s="6">
        <v>678000000</v>
      </c>
      <c r="V219" s="6">
        <v>677415000</v>
      </c>
      <c r="X219" s="6">
        <v>30000000</v>
      </c>
      <c r="Y219" s="6">
        <v>6000000</v>
      </c>
      <c r="Z219" s="8">
        <v>45913</v>
      </c>
      <c r="AA219" s="6" t="s">
        <v>2286</v>
      </c>
    </row>
    <row r="220" spans="1:27" x14ac:dyDescent="0.25">
      <c r="A220" s="8">
        <v>45930</v>
      </c>
      <c r="B220" s="6" t="s">
        <v>397</v>
      </c>
      <c r="C220" s="6" t="s">
        <v>1609</v>
      </c>
      <c r="D220" s="6" t="s">
        <v>36</v>
      </c>
      <c r="E220" s="6" t="str">
        <f>VLOOKUP(D220,'shipping inf'!B:D,2,FALSE)</f>
        <v>TP Hồ Chí Minh</v>
      </c>
      <c r="F220" s="6" t="s">
        <v>716</v>
      </c>
      <c r="G220" s="6">
        <v>120</v>
      </c>
      <c r="H220" s="6">
        <v>2511900601</v>
      </c>
      <c r="I220" s="6" t="s">
        <v>1371</v>
      </c>
      <c r="J220" s="6">
        <v>24</v>
      </c>
      <c r="K220" s="6">
        <v>24</v>
      </c>
      <c r="L220" s="6" t="s">
        <v>15</v>
      </c>
      <c r="M220" s="6" t="s">
        <v>37</v>
      </c>
      <c r="N220" s="6" t="str">
        <f>VLOOKUP(Table1[[#This Row],[elevator_traction_machine]],'Product inf'!A:B,2,FALSE)</f>
        <v>SP006</v>
      </c>
      <c r="O220" s="6" t="s">
        <v>8</v>
      </c>
      <c r="P220" s="6" t="s">
        <v>9</v>
      </c>
      <c r="Q220" s="6" t="s">
        <v>67</v>
      </c>
      <c r="R220" s="6" t="s">
        <v>68</v>
      </c>
      <c r="S220" s="6">
        <v>415000000</v>
      </c>
      <c r="U220" s="6">
        <v>415000000</v>
      </c>
      <c r="V220" s="6">
        <v>414000000</v>
      </c>
      <c r="X220" s="6">
        <v>20000000</v>
      </c>
      <c r="Y220" s="6">
        <v>6000000</v>
      </c>
      <c r="Z220" s="8">
        <v>45931</v>
      </c>
      <c r="AA220" s="6" t="s">
        <v>2307</v>
      </c>
    </row>
    <row r="221" spans="1:27" x14ac:dyDescent="0.25">
      <c r="A221" s="8">
        <v>45930</v>
      </c>
      <c r="B221" s="6" t="s">
        <v>400</v>
      </c>
      <c r="C221" s="6" t="s">
        <v>1610</v>
      </c>
      <c r="D221" s="6" t="s">
        <v>36</v>
      </c>
      <c r="E221" s="6" t="str">
        <f>VLOOKUP(D221,'shipping inf'!B:D,2,FALSE)</f>
        <v>TP Hồ Chí Minh</v>
      </c>
      <c r="F221" s="6" t="s">
        <v>717</v>
      </c>
      <c r="G221" s="6">
        <v>70</v>
      </c>
      <c r="H221" s="6">
        <v>2511900501</v>
      </c>
      <c r="I221" s="6" t="s">
        <v>1371</v>
      </c>
      <c r="J221" s="6">
        <v>24</v>
      </c>
      <c r="K221" s="6">
        <v>24</v>
      </c>
      <c r="L221" s="6" t="s">
        <v>12</v>
      </c>
      <c r="M221" s="6" t="s">
        <v>37</v>
      </c>
      <c r="N221" s="6" t="str">
        <f>VLOOKUP(Table1[[#This Row],[elevator_traction_machine]],'Product inf'!A:B,2,FALSE)</f>
        <v>SP006</v>
      </c>
      <c r="O221" s="6" t="s">
        <v>3</v>
      </c>
      <c r="P221" s="6" t="s">
        <v>9</v>
      </c>
      <c r="Q221" s="6" t="s">
        <v>67</v>
      </c>
      <c r="R221" s="6" t="s">
        <v>68</v>
      </c>
      <c r="S221" s="6">
        <v>362000000</v>
      </c>
      <c r="U221" s="6">
        <v>362000000</v>
      </c>
      <c r="V221" s="6">
        <v>362000000</v>
      </c>
      <c r="X221" s="6">
        <v>15000000</v>
      </c>
      <c r="Y221" s="6">
        <v>6000000</v>
      </c>
      <c r="Z221" s="8">
        <v>45932</v>
      </c>
      <c r="AA221" s="6" t="s">
        <v>2307</v>
      </c>
    </row>
    <row r="222" spans="1:27" x14ac:dyDescent="0.25">
      <c r="A222" s="8">
        <v>45979</v>
      </c>
      <c r="B222" s="6" t="s">
        <v>447</v>
      </c>
      <c r="C222" s="6" t="s">
        <v>1611</v>
      </c>
      <c r="D222" s="6" t="s">
        <v>36</v>
      </c>
      <c r="E222" s="6" t="str">
        <f>VLOOKUP(D222,'shipping inf'!B:D,2,FALSE)</f>
        <v>TP Hồ Chí Minh</v>
      </c>
      <c r="F222" s="6" t="s">
        <v>718</v>
      </c>
      <c r="G222" s="6">
        <v>70</v>
      </c>
      <c r="H222" s="6">
        <v>2511900601</v>
      </c>
      <c r="I222" s="6" t="s">
        <v>1371</v>
      </c>
      <c r="J222" s="6">
        <v>24</v>
      </c>
      <c r="K222" s="6">
        <v>24</v>
      </c>
      <c r="L222" s="6" t="s">
        <v>15</v>
      </c>
      <c r="M222" s="6" t="s">
        <v>37</v>
      </c>
      <c r="N222" s="6" t="str">
        <f>VLOOKUP(Table1[[#This Row],[elevator_traction_machine]],'Product inf'!A:B,2,FALSE)</f>
        <v>SP006</v>
      </c>
      <c r="O222" s="6" t="s">
        <v>8</v>
      </c>
      <c r="P222" s="6" t="s">
        <v>9</v>
      </c>
      <c r="Q222" s="6" t="s">
        <v>67</v>
      </c>
      <c r="R222" s="6" t="s">
        <v>68</v>
      </c>
      <c r="S222" s="6">
        <v>420000000</v>
      </c>
      <c r="U222" s="6">
        <v>420000000</v>
      </c>
      <c r="V222" s="6">
        <v>419600000</v>
      </c>
      <c r="X222" s="6">
        <v>5000000</v>
      </c>
      <c r="Y222" s="6">
        <v>8000000</v>
      </c>
      <c r="Z222" s="8">
        <v>45981</v>
      </c>
      <c r="AA222" s="6" t="s">
        <v>2349</v>
      </c>
    </row>
    <row r="223" spans="1:27" x14ac:dyDescent="0.25">
      <c r="A223" s="8">
        <v>45451</v>
      </c>
      <c r="B223" s="6" t="s">
        <v>133</v>
      </c>
      <c r="C223" s="6" t="s">
        <v>1612</v>
      </c>
      <c r="D223" s="6" t="s">
        <v>63</v>
      </c>
      <c r="E223" s="6" t="str">
        <f>VLOOKUP(D223,'shipping inf'!B:D,2,FALSE)</f>
        <v>Gia Lai</v>
      </c>
      <c r="F223" s="6" t="s">
        <v>719</v>
      </c>
      <c r="G223" s="6">
        <v>90</v>
      </c>
      <c r="H223" s="6">
        <v>2430200101</v>
      </c>
      <c r="I223" s="6" t="s">
        <v>1377</v>
      </c>
      <c r="J223" s="6">
        <v>15</v>
      </c>
      <c r="K223" s="6">
        <v>15</v>
      </c>
      <c r="L223" s="6" t="s">
        <v>19</v>
      </c>
      <c r="M223" s="6" t="s">
        <v>37</v>
      </c>
      <c r="N223" s="6" t="str">
        <f>VLOOKUP(Table1[[#This Row],[elevator_traction_machine]],'Product inf'!A:B,2,FALSE)</f>
        <v>SP015</v>
      </c>
      <c r="O223" s="6" t="s">
        <v>3</v>
      </c>
      <c r="P223" s="6" t="s">
        <v>9</v>
      </c>
      <c r="Q223" s="6" t="s">
        <v>70</v>
      </c>
      <c r="R223" s="6" t="s">
        <v>68</v>
      </c>
      <c r="S223" s="6">
        <v>385000000</v>
      </c>
      <c r="U223" s="6">
        <v>385000000</v>
      </c>
      <c r="X223" s="6">
        <v>10000000</v>
      </c>
      <c r="Y223" s="6">
        <v>8000000</v>
      </c>
      <c r="Z223" s="8">
        <v>45468</v>
      </c>
      <c r="AA223" s="6" t="s">
        <v>1999</v>
      </c>
    </row>
    <row r="224" spans="1:27" x14ac:dyDescent="0.25">
      <c r="A224" s="8">
        <v>45721</v>
      </c>
      <c r="B224" s="6" t="s">
        <v>457</v>
      </c>
      <c r="C224" s="6" t="s">
        <v>1613</v>
      </c>
      <c r="D224" s="6" t="s">
        <v>40</v>
      </c>
      <c r="E224" s="6" t="str">
        <f>VLOOKUP(D224,'shipping inf'!B:D,2,FALSE)</f>
        <v>Đà Nẵng</v>
      </c>
      <c r="F224" s="6" t="s">
        <v>720</v>
      </c>
      <c r="G224" s="6">
        <v>60</v>
      </c>
      <c r="H224" s="6">
        <v>2510200101</v>
      </c>
      <c r="I224" s="6" t="s">
        <v>1377</v>
      </c>
      <c r="J224" s="6">
        <v>24</v>
      </c>
      <c r="K224" s="6">
        <v>24</v>
      </c>
      <c r="L224" s="6" t="s">
        <v>19</v>
      </c>
      <c r="M224" s="6" t="s">
        <v>37</v>
      </c>
      <c r="N224" s="6" t="str">
        <f>VLOOKUP(Table1[[#This Row],[elevator_traction_machine]],'Product inf'!A:B,2,FALSE)</f>
        <v>SP006</v>
      </c>
      <c r="O224" s="6" t="s">
        <v>3</v>
      </c>
      <c r="P224" s="6" t="s">
        <v>9</v>
      </c>
      <c r="Q224" s="6" t="s">
        <v>67</v>
      </c>
      <c r="R224" s="6" t="s">
        <v>68</v>
      </c>
      <c r="S224" s="6">
        <v>320000000</v>
      </c>
      <c r="U224" s="6">
        <v>320000000</v>
      </c>
      <c r="V224" s="6">
        <v>320000000</v>
      </c>
      <c r="X224" s="6">
        <v>5000000</v>
      </c>
      <c r="Y224" s="6">
        <v>8000000</v>
      </c>
      <c r="Z224" s="8">
        <v>45721</v>
      </c>
      <c r="AA224" s="6" t="s">
        <v>2188</v>
      </c>
    </row>
    <row r="225" spans="1:27" x14ac:dyDescent="0.25">
      <c r="A225" s="8">
        <v>46025</v>
      </c>
      <c r="B225" s="6" t="s">
        <v>471</v>
      </c>
      <c r="C225" s="6" t="s">
        <v>1614</v>
      </c>
      <c r="D225" s="6" t="s">
        <v>40</v>
      </c>
      <c r="E225" s="6" t="str">
        <f>VLOOKUP(D225,'shipping inf'!B:D,2,FALSE)</f>
        <v>Đà Nẵng</v>
      </c>
      <c r="F225" s="6" t="s">
        <v>721</v>
      </c>
      <c r="G225" s="6">
        <v>90</v>
      </c>
      <c r="H225" s="6">
        <v>2612000101</v>
      </c>
      <c r="I225" s="6" t="s">
        <v>1377</v>
      </c>
      <c r="J225" s="6">
        <v>36</v>
      </c>
      <c r="K225" s="6">
        <v>36</v>
      </c>
      <c r="L225" s="6" t="s">
        <v>15</v>
      </c>
      <c r="M225" s="6" t="s">
        <v>37</v>
      </c>
      <c r="N225" s="6" t="str">
        <f>VLOOKUP(Table1[[#This Row],[elevator_traction_machine]],'Product inf'!A:B,2,FALSE)</f>
        <v>SP006</v>
      </c>
      <c r="O225" s="6" t="s">
        <v>8</v>
      </c>
      <c r="P225" s="6" t="s">
        <v>9</v>
      </c>
      <c r="Q225" s="6" t="s">
        <v>67</v>
      </c>
      <c r="R225" s="6" t="s">
        <v>68</v>
      </c>
      <c r="S225" s="6">
        <v>380000000</v>
      </c>
      <c r="U225" s="6">
        <v>380000000</v>
      </c>
      <c r="V225" s="6">
        <v>384800000</v>
      </c>
      <c r="Y225" s="6">
        <v>8000000</v>
      </c>
      <c r="Z225" s="8">
        <v>46029</v>
      </c>
      <c r="AA225" s="6" t="s">
        <v>2398</v>
      </c>
    </row>
    <row r="226" spans="1:27" x14ac:dyDescent="0.25">
      <c r="A226" s="8">
        <v>45293</v>
      </c>
      <c r="B226" s="6" t="s">
        <v>876</v>
      </c>
      <c r="C226" s="6" t="s">
        <v>1615</v>
      </c>
      <c r="D226" s="6" t="s">
        <v>36</v>
      </c>
      <c r="E226" s="6" t="str">
        <f>VLOOKUP(D226,'shipping inf'!B:D,2,FALSE)</f>
        <v>TP Hồ Chí Minh</v>
      </c>
      <c r="F226" s="6" t="s">
        <v>722</v>
      </c>
      <c r="G226" s="6">
        <v>45</v>
      </c>
      <c r="H226" s="6">
        <v>2410200101</v>
      </c>
      <c r="I226" s="6" t="s">
        <v>1357</v>
      </c>
      <c r="J226" s="6">
        <v>24</v>
      </c>
      <c r="L226" s="6" t="s">
        <v>19</v>
      </c>
      <c r="M226" s="6" t="s">
        <v>37</v>
      </c>
      <c r="N226" s="6" t="str">
        <f>VLOOKUP(Table1[[#This Row],[elevator_traction_machine]],'Product inf'!A:B,2,FALSE)</f>
        <v>SP006</v>
      </c>
      <c r="O226" s="6" t="s">
        <v>8</v>
      </c>
      <c r="P226" s="6" t="s">
        <v>9</v>
      </c>
      <c r="Q226" s="6" t="s">
        <v>67</v>
      </c>
      <c r="R226" s="6" t="s">
        <v>68</v>
      </c>
      <c r="S226" s="6">
        <v>562000000</v>
      </c>
      <c r="T226" s="6">
        <v>44960000</v>
      </c>
      <c r="U226" s="6">
        <v>606960000</v>
      </c>
      <c r="X226" s="6">
        <v>70000000</v>
      </c>
      <c r="Y226" s="6">
        <v>7380000</v>
      </c>
      <c r="Z226" s="8">
        <v>45299</v>
      </c>
      <c r="AA226" s="6" t="s">
        <v>1874</v>
      </c>
    </row>
    <row r="227" spans="1:27" x14ac:dyDescent="0.25">
      <c r="A227" s="8">
        <v>45705</v>
      </c>
      <c r="B227" s="6" t="s">
        <v>259</v>
      </c>
      <c r="C227" s="6" t="s">
        <v>1616</v>
      </c>
      <c r="D227" s="6" t="s">
        <v>36</v>
      </c>
      <c r="E227" s="6" t="str">
        <f>VLOOKUP(D227,'shipping inf'!B:D,2,FALSE)</f>
        <v>TP Hồ Chí Minh</v>
      </c>
      <c r="F227" s="6" t="s">
        <v>723</v>
      </c>
      <c r="G227" s="6">
        <v>90</v>
      </c>
      <c r="H227" s="6">
        <v>2510200101</v>
      </c>
      <c r="I227" s="6" t="s">
        <v>1357</v>
      </c>
      <c r="J227" s="6">
        <v>24</v>
      </c>
      <c r="K227" s="6">
        <v>24</v>
      </c>
      <c r="L227" s="6" t="s">
        <v>19</v>
      </c>
      <c r="M227" s="6" t="s">
        <v>37</v>
      </c>
      <c r="N227" s="6" t="str">
        <f>VLOOKUP(Table1[[#This Row],[elevator_traction_machine]],'Product inf'!A:B,2,FALSE)</f>
        <v>SP015</v>
      </c>
      <c r="O227" s="6" t="s">
        <v>3</v>
      </c>
      <c r="P227" s="6" t="s">
        <v>9</v>
      </c>
      <c r="Q227" s="6" t="s">
        <v>70</v>
      </c>
      <c r="R227" s="6" t="s">
        <v>68</v>
      </c>
      <c r="S227" s="6">
        <v>365000000</v>
      </c>
      <c r="U227" s="6">
        <v>365000000</v>
      </c>
      <c r="V227" s="6">
        <v>394955000</v>
      </c>
      <c r="Y227" s="6">
        <v>5475000</v>
      </c>
      <c r="Z227" s="8">
        <v>45705</v>
      </c>
      <c r="AA227" s="6" t="s">
        <v>2147</v>
      </c>
    </row>
    <row r="228" spans="1:27" x14ac:dyDescent="0.25">
      <c r="A228" s="8">
        <v>45524</v>
      </c>
      <c r="B228" s="6" t="s">
        <v>184</v>
      </c>
      <c r="C228" s="6" t="s">
        <v>1617</v>
      </c>
      <c r="D228" s="6" t="s">
        <v>40</v>
      </c>
      <c r="E228" s="6" t="str">
        <f>VLOOKUP(D228,'shipping inf'!B:D,2,FALSE)</f>
        <v>Đà Nẵng</v>
      </c>
      <c r="F228" s="6" t="s">
        <v>724</v>
      </c>
      <c r="G228" s="6">
        <v>60</v>
      </c>
      <c r="H228" s="6">
        <v>2430200201</v>
      </c>
      <c r="I228" s="6" t="s">
        <v>1377</v>
      </c>
      <c r="J228" s="6">
        <v>36</v>
      </c>
      <c r="K228" s="6">
        <v>36</v>
      </c>
      <c r="L228" s="6" t="s">
        <v>19</v>
      </c>
      <c r="M228" s="6" t="s">
        <v>37</v>
      </c>
      <c r="N228" s="6" t="str">
        <f>VLOOKUP(Table1[[#This Row],[elevator_traction_machine]],'Product inf'!A:B,2,FALSE)</f>
        <v>SP015</v>
      </c>
      <c r="O228" s="6" t="s">
        <v>3</v>
      </c>
      <c r="P228" s="6" t="s">
        <v>9</v>
      </c>
      <c r="Q228" s="6" t="s">
        <v>70</v>
      </c>
      <c r="R228" s="6" t="s">
        <v>68</v>
      </c>
      <c r="S228" s="6">
        <v>345000000</v>
      </c>
      <c r="U228" s="6">
        <v>345000000</v>
      </c>
      <c r="X228" s="6">
        <v>10000000</v>
      </c>
      <c r="Y228" s="6">
        <v>8000000</v>
      </c>
      <c r="Z228" s="8">
        <v>45546</v>
      </c>
      <c r="AA228" s="6" t="s">
        <v>2041</v>
      </c>
    </row>
    <row r="229" spans="1:27" x14ac:dyDescent="0.25">
      <c r="A229" s="8">
        <v>45859</v>
      </c>
      <c r="B229" s="6" t="s">
        <v>458</v>
      </c>
      <c r="C229" s="6" t="s">
        <v>1618</v>
      </c>
      <c r="D229" s="6" t="s">
        <v>40</v>
      </c>
      <c r="E229" s="6" t="str">
        <f>VLOOKUP(D229,'shipping inf'!B:D,2,FALSE)</f>
        <v>Đà Nẵng</v>
      </c>
      <c r="F229" s="6" t="s">
        <v>725</v>
      </c>
      <c r="G229" s="6">
        <v>45</v>
      </c>
      <c r="H229" s="6">
        <v>2510200201</v>
      </c>
      <c r="I229" s="6" t="s">
        <v>1377</v>
      </c>
      <c r="J229" s="6">
        <v>36</v>
      </c>
      <c r="K229" s="6">
        <v>36</v>
      </c>
      <c r="L229" s="6" t="s">
        <v>19</v>
      </c>
      <c r="M229" s="6" t="s">
        <v>37</v>
      </c>
      <c r="N229" s="6" t="str">
        <f>VLOOKUP(Table1[[#This Row],[elevator_traction_machine]],'Product inf'!A:B,2,FALSE)</f>
        <v>SP015</v>
      </c>
      <c r="O229" s="6" t="s">
        <v>3</v>
      </c>
      <c r="P229" s="6" t="s">
        <v>9</v>
      </c>
      <c r="Q229" s="6" t="s">
        <v>70</v>
      </c>
      <c r="R229" s="6" t="s">
        <v>68</v>
      </c>
      <c r="S229" s="6">
        <v>320000000</v>
      </c>
      <c r="U229" s="6">
        <v>320000000</v>
      </c>
      <c r="V229" s="6">
        <v>320000000</v>
      </c>
      <c r="X229" s="6">
        <v>3000000</v>
      </c>
      <c r="Y229" s="6">
        <v>5000000</v>
      </c>
      <c r="Z229" s="8">
        <v>45859</v>
      </c>
      <c r="AA229" s="6" t="s">
        <v>2272</v>
      </c>
    </row>
    <row r="230" spans="1:27" x14ac:dyDescent="0.25">
      <c r="A230" s="8">
        <v>46056</v>
      </c>
      <c r="B230" s="6" t="s">
        <v>485</v>
      </c>
      <c r="C230" s="6" t="s">
        <v>1619</v>
      </c>
      <c r="D230" s="6" t="s">
        <v>40</v>
      </c>
      <c r="E230" s="6" t="str">
        <f>VLOOKUP(D230,'shipping inf'!B:D,2,FALSE)</f>
        <v>Đà Nẵng</v>
      </c>
      <c r="F230" s="6" t="s">
        <v>726</v>
      </c>
      <c r="G230" s="6">
        <v>70</v>
      </c>
      <c r="H230" s="6">
        <v>2612000201</v>
      </c>
      <c r="I230" s="6" t="s">
        <v>1377</v>
      </c>
      <c r="J230" s="6">
        <v>24</v>
      </c>
      <c r="K230" s="6">
        <v>24</v>
      </c>
      <c r="L230" s="6" t="s">
        <v>19</v>
      </c>
      <c r="M230" s="6" t="s">
        <v>37</v>
      </c>
      <c r="N230" s="6" t="str">
        <f>VLOOKUP(Table1[[#This Row],[elevator_traction_machine]],'Product inf'!A:B,2,FALSE)</f>
        <v>SP006</v>
      </c>
      <c r="O230" s="6" t="s">
        <v>3</v>
      </c>
      <c r="P230" s="6" t="s">
        <v>9</v>
      </c>
      <c r="Q230" s="6" t="s">
        <v>67</v>
      </c>
      <c r="R230" s="6" t="s">
        <v>68</v>
      </c>
      <c r="S230" s="6">
        <v>407000000</v>
      </c>
      <c r="U230" s="6">
        <v>407000000</v>
      </c>
      <c r="V230" s="6">
        <v>432200000</v>
      </c>
      <c r="X230" s="6">
        <v>5000000</v>
      </c>
      <c r="Y230" s="6">
        <v>6000000</v>
      </c>
      <c r="Z230" s="8">
        <v>46059</v>
      </c>
      <c r="AA230" s="6" t="s">
        <v>2419</v>
      </c>
    </row>
    <row r="231" spans="1:27" x14ac:dyDescent="0.25">
      <c r="A231" s="8">
        <v>45377</v>
      </c>
      <c r="B231" s="6" t="s">
        <v>877</v>
      </c>
      <c r="C231" s="6" t="s">
        <v>1620</v>
      </c>
      <c r="D231" s="6" t="s">
        <v>42</v>
      </c>
      <c r="E231" s="6" t="str">
        <f>VLOOKUP(D231,'shipping inf'!B:D,2,FALSE)</f>
        <v>TP Hồ Chí Minh</v>
      </c>
      <c r="F231" s="6" t="s">
        <v>727</v>
      </c>
      <c r="G231" s="6">
        <v>120</v>
      </c>
      <c r="H231" s="6">
        <v>2410200201</v>
      </c>
      <c r="I231" s="6" t="s">
        <v>1357</v>
      </c>
      <c r="J231" s="6">
        <v>36</v>
      </c>
      <c r="K231" s="6">
        <v>36</v>
      </c>
      <c r="L231" s="6" t="s">
        <v>19</v>
      </c>
      <c r="M231" s="6" t="s">
        <v>37</v>
      </c>
      <c r="N231" s="6" t="str">
        <f>VLOOKUP(Table1[[#This Row],[elevator_traction_machine]],'Product inf'!A:B,2,FALSE)</f>
        <v>SP006</v>
      </c>
      <c r="O231" s="6" t="s">
        <v>3</v>
      </c>
      <c r="P231" s="6" t="s">
        <v>13</v>
      </c>
      <c r="Q231" s="6" t="s">
        <v>67</v>
      </c>
      <c r="R231" s="6" t="s">
        <v>68</v>
      </c>
      <c r="S231" s="6">
        <v>1437000000</v>
      </c>
      <c r="T231" s="6">
        <v>114960000</v>
      </c>
      <c r="U231" s="6">
        <v>1551960000</v>
      </c>
      <c r="X231" s="6">
        <v>287400000</v>
      </c>
      <c r="Y231" s="6">
        <v>38799000</v>
      </c>
      <c r="Z231" s="8">
        <v>45385</v>
      </c>
      <c r="AA231" s="6" t="s">
        <v>1916</v>
      </c>
    </row>
    <row r="232" spans="1:27" x14ac:dyDescent="0.25">
      <c r="A232" s="8">
        <v>45377</v>
      </c>
      <c r="B232" s="6" t="s">
        <v>877</v>
      </c>
      <c r="C232" s="6" t="s">
        <v>1621</v>
      </c>
      <c r="D232" s="6" t="s">
        <v>42</v>
      </c>
      <c r="E232" s="6" t="str">
        <f>VLOOKUP(D232,'shipping inf'!B:D,2,FALSE)</f>
        <v>TP Hồ Chí Minh</v>
      </c>
      <c r="F232" s="6" t="s">
        <v>727</v>
      </c>
      <c r="G232" s="6">
        <v>120</v>
      </c>
      <c r="H232" s="6">
        <v>2410200202</v>
      </c>
      <c r="I232" s="6" t="s">
        <v>1357</v>
      </c>
      <c r="J232" s="6">
        <v>36</v>
      </c>
      <c r="K232" s="6">
        <v>36</v>
      </c>
      <c r="L232" s="6" t="s">
        <v>19</v>
      </c>
      <c r="M232" s="6" t="s">
        <v>37</v>
      </c>
      <c r="N232" s="6" t="str">
        <f>VLOOKUP(Table1[[#This Row],[elevator_traction_machine]],'Product inf'!A:B,2,FALSE)</f>
        <v>SP006</v>
      </c>
      <c r="O232" s="6" t="s">
        <v>3</v>
      </c>
      <c r="P232" s="6" t="s">
        <v>13</v>
      </c>
      <c r="Q232" s="6" t="s">
        <v>67</v>
      </c>
      <c r="R232" s="6" t="s">
        <v>68</v>
      </c>
      <c r="S232" s="6">
        <v>1437000000</v>
      </c>
      <c r="T232" s="6">
        <v>114960000</v>
      </c>
      <c r="U232" s="6">
        <v>1551960000</v>
      </c>
      <c r="Z232" s="8">
        <v>45385</v>
      </c>
      <c r="AA232" s="6" t="s">
        <v>1916</v>
      </c>
    </row>
    <row r="233" spans="1:27" x14ac:dyDescent="0.25">
      <c r="A233" s="8">
        <v>45705</v>
      </c>
      <c r="B233" s="6" t="s">
        <v>258</v>
      </c>
      <c r="C233" s="6" t="s">
        <v>1622</v>
      </c>
      <c r="D233" s="6" t="s">
        <v>36</v>
      </c>
      <c r="E233" s="6" t="str">
        <f>VLOOKUP(D233,'shipping inf'!B:D,2,FALSE)</f>
        <v>TP Hồ Chí Minh</v>
      </c>
      <c r="F233" s="6" t="s">
        <v>728</v>
      </c>
      <c r="G233" s="6">
        <v>120</v>
      </c>
      <c r="H233" s="6">
        <v>2510200201</v>
      </c>
      <c r="I233" s="6" t="s">
        <v>1357</v>
      </c>
      <c r="J233" s="6">
        <v>24</v>
      </c>
      <c r="K233" s="6">
        <v>24</v>
      </c>
      <c r="L233" s="6" t="s">
        <v>19</v>
      </c>
      <c r="M233" s="6" t="s">
        <v>37</v>
      </c>
      <c r="N233" s="6" t="str">
        <f>VLOOKUP(Table1[[#This Row],[elevator_traction_machine]],'Product inf'!A:B,2,FALSE)</f>
        <v>SP006</v>
      </c>
      <c r="O233" s="6" t="s">
        <v>3</v>
      </c>
      <c r="P233" s="6" t="s">
        <v>9</v>
      </c>
      <c r="Q233" s="6" t="s">
        <v>67</v>
      </c>
      <c r="R233" s="6" t="s">
        <v>68</v>
      </c>
      <c r="S233" s="6">
        <v>520000000</v>
      </c>
      <c r="U233" s="6">
        <v>520000000</v>
      </c>
      <c r="V233" s="6">
        <v>516610000</v>
      </c>
      <c r="X233" s="6">
        <v>60000000</v>
      </c>
      <c r="Y233" s="6">
        <v>6900000</v>
      </c>
      <c r="Z233" s="8">
        <v>45705</v>
      </c>
      <c r="AA233" s="6" t="s">
        <v>2147</v>
      </c>
    </row>
    <row r="234" spans="1:27" x14ac:dyDescent="0.25">
      <c r="A234" s="8">
        <v>45943</v>
      </c>
      <c r="B234" s="6" t="s">
        <v>459</v>
      </c>
      <c r="C234" s="6" t="s">
        <v>1623</v>
      </c>
      <c r="D234" s="6" t="s">
        <v>40</v>
      </c>
      <c r="E234" s="6" t="str">
        <f>VLOOKUP(D234,'shipping inf'!B:D,2,FALSE)</f>
        <v>Đà Nẵng</v>
      </c>
      <c r="F234" s="6" t="s">
        <v>729</v>
      </c>
      <c r="G234" s="6">
        <v>60</v>
      </c>
      <c r="H234" s="6">
        <v>2510200301</v>
      </c>
      <c r="I234" s="6" t="s">
        <v>1377</v>
      </c>
      <c r="J234" s="6">
        <v>36</v>
      </c>
      <c r="K234" s="6">
        <v>36</v>
      </c>
      <c r="L234" s="6" t="s">
        <v>19</v>
      </c>
      <c r="M234" s="6" t="s">
        <v>37</v>
      </c>
      <c r="N234" s="6" t="str">
        <f>VLOOKUP(Table1[[#This Row],[elevator_traction_machine]],'Product inf'!A:B,2,FALSE)</f>
        <v>SP015</v>
      </c>
      <c r="O234" s="6" t="s">
        <v>3</v>
      </c>
      <c r="P234" s="6" t="s">
        <v>9</v>
      </c>
      <c r="Q234" s="6" t="s">
        <v>70</v>
      </c>
      <c r="R234" s="6" t="s">
        <v>68</v>
      </c>
      <c r="S234" s="6">
        <v>365000000</v>
      </c>
      <c r="U234" s="6">
        <v>365000000</v>
      </c>
      <c r="V234" s="6">
        <v>416100000</v>
      </c>
      <c r="Y234" s="6">
        <v>8000000</v>
      </c>
      <c r="Z234" s="8">
        <v>45943</v>
      </c>
      <c r="AA234" s="6" t="s">
        <v>2335</v>
      </c>
    </row>
    <row r="235" spans="1:27" x14ac:dyDescent="0.25">
      <c r="A235" s="8">
        <v>46056</v>
      </c>
      <c r="B235" s="6" t="s">
        <v>486</v>
      </c>
      <c r="C235" s="6" t="s">
        <v>1624</v>
      </c>
      <c r="D235" s="6" t="s">
        <v>40</v>
      </c>
      <c r="E235" s="6" t="str">
        <f>VLOOKUP(D235,'shipping inf'!B:D,2,FALSE)</f>
        <v>Đà Nẵng</v>
      </c>
      <c r="F235" s="6" t="s">
        <v>730</v>
      </c>
      <c r="G235" s="6">
        <v>70</v>
      </c>
      <c r="H235" s="6">
        <v>2612000301</v>
      </c>
      <c r="I235" s="6" t="s">
        <v>1377</v>
      </c>
      <c r="J235" s="6">
        <v>24</v>
      </c>
      <c r="K235" s="6">
        <v>24</v>
      </c>
      <c r="L235" s="6" t="s">
        <v>19</v>
      </c>
      <c r="M235" s="6" t="s">
        <v>37</v>
      </c>
      <c r="N235" s="6" t="str">
        <f>VLOOKUP(Table1[[#This Row],[elevator_traction_machine]],'Product inf'!A:B,2,FALSE)</f>
        <v>SP015</v>
      </c>
      <c r="O235" s="6" t="s">
        <v>3</v>
      </c>
      <c r="P235" s="6" t="s">
        <v>9</v>
      </c>
      <c r="Q235" s="6" t="s">
        <v>70</v>
      </c>
      <c r="R235" s="6" t="s">
        <v>68</v>
      </c>
      <c r="S235" s="6">
        <v>500000000</v>
      </c>
      <c r="U235" s="6">
        <v>500000000</v>
      </c>
      <c r="V235" s="6">
        <v>554583333</v>
      </c>
      <c r="Y235" s="6">
        <v>6000000</v>
      </c>
      <c r="Z235" s="8">
        <v>46059</v>
      </c>
      <c r="AA235" s="6" t="s">
        <v>2419</v>
      </c>
    </row>
    <row r="236" spans="1:27" x14ac:dyDescent="0.25">
      <c r="A236" s="8">
        <v>45387</v>
      </c>
      <c r="B236" s="6" t="s">
        <v>96</v>
      </c>
      <c r="C236" s="6" t="s">
        <v>1625</v>
      </c>
      <c r="D236" s="6" t="s">
        <v>36</v>
      </c>
      <c r="E236" s="6" t="str">
        <f>VLOOKUP(D236,'shipping inf'!B:D,2,FALSE)</f>
        <v>TP Hồ Chí Minh</v>
      </c>
      <c r="F236" s="6" t="s">
        <v>731</v>
      </c>
      <c r="G236" s="6">
        <v>60</v>
      </c>
      <c r="H236" s="6">
        <v>2410200301</v>
      </c>
      <c r="I236" s="6" t="s">
        <v>1357</v>
      </c>
      <c r="J236" s="6">
        <v>24</v>
      </c>
      <c r="K236" s="6">
        <v>24</v>
      </c>
      <c r="L236" s="6" t="s">
        <v>19</v>
      </c>
      <c r="M236" s="6" t="s">
        <v>37</v>
      </c>
      <c r="N236" s="6" t="str">
        <f>VLOOKUP(Table1[[#This Row],[elevator_traction_machine]],'Product inf'!A:B,2,FALSE)</f>
        <v>SP015</v>
      </c>
      <c r="O236" s="6" t="s">
        <v>8</v>
      </c>
      <c r="P236" s="6" t="s">
        <v>9</v>
      </c>
      <c r="Q236" s="6" t="s">
        <v>70</v>
      </c>
      <c r="R236" s="6" t="s">
        <v>68</v>
      </c>
      <c r="S236" s="6">
        <v>581000000</v>
      </c>
      <c r="U236" s="6">
        <v>581000000</v>
      </c>
      <c r="X236" s="6">
        <v>55000000</v>
      </c>
      <c r="Y236" s="6">
        <v>7890000</v>
      </c>
      <c r="Z236" s="8">
        <v>45394</v>
      </c>
      <c r="AA236" s="6" t="s">
        <v>1937</v>
      </c>
    </row>
    <row r="237" spans="1:27" x14ac:dyDescent="0.25">
      <c r="A237" s="8">
        <v>45716</v>
      </c>
      <c r="B237" s="6" t="s">
        <v>274</v>
      </c>
      <c r="C237" s="6" t="s">
        <v>1626</v>
      </c>
      <c r="D237" s="6" t="s">
        <v>36</v>
      </c>
      <c r="E237" s="6" t="str">
        <f>VLOOKUP(D237,'shipping inf'!B:D,2,FALSE)</f>
        <v>TP Hồ Chí Minh</v>
      </c>
      <c r="F237" s="6" t="s">
        <v>732</v>
      </c>
      <c r="G237" s="6">
        <v>75</v>
      </c>
      <c r="H237" s="6">
        <v>2510200301</v>
      </c>
      <c r="I237" s="6" t="s">
        <v>1357</v>
      </c>
      <c r="J237" s="6">
        <v>24</v>
      </c>
      <c r="K237" s="6">
        <v>24</v>
      </c>
      <c r="L237" s="6" t="s">
        <v>19</v>
      </c>
      <c r="M237" s="6" t="s">
        <v>37</v>
      </c>
      <c r="N237" s="6" t="str">
        <f>VLOOKUP(Table1[[#This Row],[elevator_traction_machine]],'Product inf'!A:B,2,FALSE)</f>
        <v>SP001</v>
      </c>
      <c r="O237" s="6" t="s">
        <v>3</v>
      </c>
      <c r="P237" s="6" t="s">
        <v>9</v>
      </c>
      <c r="Q237" s="6" t="s">
        <v>252</v>
      </c>
      <c r="R237" s="6" t="s">
        <v>68</v>
      </c>
      <c r="S237" s="6">
        <v>410000000</v>
      </c>
      <c r="T237" s="6">
        <v>32800000</v>
      </c>
      <c r="U237" s="6">
        <v>442800000</v>
      </c>
      <c r="V237" s="6">
        <v>405000000</v>
      </c>
      <c r="X237" s="6">
        <v>40000000</v>
      </c>
      <c r="Y237" s="6">
        <v>5550000</v>
      </c>
      <c r="Z237" s="8">
        <v>45729</v>
      </c>
      <c r="AA237" s="6" t="s">
        <v>2147</v>
      </c>
    </row>
    <row r="238" spans="1:27" x14ac:dyDescent="0.25">
      <c r="A238" s="8">
        <v>45414</v>
      </c>
      <c r="B238" s="6" t="s">
        <v>107</v>
      </c>
      <c r="C238" s="6" t="s">
        <v>1627</v>
      </c>
      <c r="D238" s="6" t="s">
        <v>36</v>
      </c>
      <c r="E238" s="6" t="str">
        <f>VLOOKUP(D238,'shipping inf'!B:D,2,FALSE)</f>
        <v>TP Hồ Chí Minh</v>
      </c>
      <c r="F238" s="6" t="s">
        <v>733</v>
      </c>
      <c r="G238" s="6">
        <v>120</v>
      </c>
      <c r="H238" s="6">
        <v>2410200401</v>
      </c>
      <c r="I238" s="6" t="s">
        <v>1357</v>
      </c>
      <c r="J238" s="6">
        <v>24</v>
      </c>
      <c r="K238" s="6">
        <v>24</v>
      </c>
      <c r="L238" s="6" t="s">
        <v>19</v>
      </c>
      <c r="M238" s="6" t="s">
        <v>37</v>
      </c>
      <c r="N238" s="6" t="str">
        <f>VLOOKUP(Table1[[#This Row],[elevator_traction_machine]],'Product inf'!A:B,2,FALSE)</f>
        <v>SP006</v>
      </c>
      <c r="O238" s="6" t="s">
        <v>3</v>
      </c>
      <c r="P238" s="6" t="s">
        <v>9</v>
      </c>
      <c r="Q238" s="6" t="s">
        <v>67</v>
      </c>
      <c r="R238" s="6" t="s">
        <v>68</v>
      </c>
      <c r="S238" s="6">
        <v>350000000</v>
      </c>
      <c r="U238" s="6">
        <v>350000000</v>
      </c>
      <c r="X238" s="6">
        <v>35000000</v>
      </c>
      <c r="Y238" s="6">
        <v>4725000</v>
      </c>
      <c r="Z238" s="8">
        <v>45422</v>
      </c>
      <c r="AA238" s="6" t="s">
        <v>1958</v>
      </c>
    </row>
    <row r="239" spans="1:27" x14ac:dyDescent="0.25">
      <c r="A239" s="8">
        <v>45740</v>
      </c>
      <c r="B239" s="6" t="s">
        <v>281</v>
      </c>
      <c r="C239" s="6" t="s">
        <v>1628</v>
      </c>
      <c r="D239" s="6" t="s">
        <v>36</v>
      </c>
      <c r="E239" s="6" t="str">
        <f>VLOOKUP(D239,'shipping inf'!B:D,2,FALSE)</f>
        <v>TP Hồ Chí Minh</v>
      </c>
      <c r="F239" s="6" t="s">
        <v>734</v>
      </c>
      <c r="G239" s="6">
        <v>120</v>
      </c>
      <c r="H239" s="6">
        <v>2510200401</v>
      </c>
      <c r="I239" s="6" t="s">
        <v>1357</v>
      </c>
      <c r="J239" s="6">
        <v>24</v>
      </c>
      <c r="K239" s="6">
        <v>24</v>
      </c>
      <c r="L239" s="6" t="s">
        <v>19</v>
      </c>
      <c r="M239" s="6" t="s">
        <v>37</v>
      </c>
      <c r="N239" s="6" t="str">
        <f>VLOOKUP(Table1[[#This Row],[elevator_traction_machine]],'Product inf'!A:B,2,FALSE)</f>
        <v>SP006</v>
      </c>
      <c r="O239" s="6" t="s">
        <v>8</v>
      </c>
      <c r="P239" s="6" t="s">
        <v>9</v>
      </c>
      <c r="Q239" s="6" t="s">
        <v>67</v>
      </c>
      <c r="R239" s="6" t="s">
        <v>68</v>
      </c>
      <c r="S239" s="6">
        <v>572000000</v>
      </c>
      <c r="U239" s="6">
        <v>572000000</v>
      </c>
      <c r="V239" s="6">
        <v>576000000</v>
      </c>
      <c r="Y239" s="6">
        <v>8580000</v>
      </c>
      <c r="Z239" s="8">
        <v>45740</v>
      </c>
      <c r="AA239" s="6" t="s">
        <v>2168</v>
      </c>
    </row>
    <row r="240" spans="1:27" x14ac:dyDescent="0.25">
      <c r="A240" s="8">
        <v>45430</v>
      </c>
      <c r="B240" s="6" t="s">
        <v>114</v>
      </c>
      <c r="C240" s="6" t="s">
        <v>1629</v>
      </c>
      <c r="D240" s="6" t="s">
        <v>36</v>
      </c>
      <c r="E240" s="6" t="str">
        <f>VLOOKUP(D240,'shipping inf'!B:D,2,FALSE)</f>
        <v>TP Hồ Chí Minh</v>
      </c>
      <c r="F240" s="6" t="s">
        <v>735</v>
      </c>
      <c r="G240" s="6">
        <v>90</v>
      </c>
      <c r="H240" s="6">
        <v>2410200501</v>
      </c>
      <c r="I240" s="6" t="s">
        <v>1357</v>
      </c>
      <c r="J240" s="6">
        <v>24</v>
      </c>
      <c r="K240" s="6">
        <v>24</v>
      </c>
      <c r="L240" s="6" t="s">
        <v>19</v>
      </c>
      <c r="M240" s="6" t="s">
        <v>37</v>
      </c>
      <c r="N240" s="6" t="str">
        <f>VLOOKUP(Table1[[#This Row],[elevator_traction_machine]],'Product inf'!A:B,2,FALSE)</f>
        <v>SP006</v>
      </c>
      <c r="O240" s="6" t="s">
        <v>3</v>
      </c>
      <c r="P240" s="6" t="s">
        <v>9</v>
      </c>
      <c r="Q240" s="6" t="s">
        <v>67</v>
      </c>
      <c r="R240" s="6" t="s">
        <v>68</v>
      </c>
      <c r="S240" s="6">
        <v>380000000</v>
      </c>
      <c r="U240" s="6">
        <v>380000000</v>
      </c>
      <c r="X240" s="6">
        <v>20000000</v>
      </c>
      <c r="Y240" s="6">
        <v>5400000</v>
      </c>
      <c r="Z240" s="8">
        <v>45432</v>
      </c>
      <c r="AA240" s="6" t="s">
        <v>1958</v>
      </c>
    </row>
    <row r="241" spans="1:27" x14ac:dyDescent="0.25">
      <c r="A241" s="8">
        <v>45808</v>
      </c>
      <c r="B241" s="6" t="s">
        <v>325</v>
      </c>
      <c r="C241" s="6" t="s">
        <v>1630</v>
      </c>
      <c r="D241" s="6" t="s">
        <v>36</v>
      </c>
      <c r="E241" s="6" t="str">
        <f>VLOOKUP(D241,'shipping inf'!B:D,2,FALSE)</f>
        <v>TP Hồ Chí Minh</v>
      </c>
      <c r="F241" s="6" t="s">
        <v>736</v>
      </c>
      <c r="G241" s="6">
        <v>180</v>
      </c>
      <c r="H241" s="6">
        <v>2510200501</v>
      </c>
      <c r="I241" s="6" t="s">
        <v>1357</v>
      </c>
      <c r="J241" s="6">
        <v>24</v>
      </c>
      <c r="K241" s="6">
        <v>24</v>
      </c>
      <c r="L241" s="6" t="s">
        <v>19</v>
      </c>
      <c r="M241" s="6" t="s">
        <v>37</v>
      </c>
      <c r="N241" s="6" t="str">
        <f>VLOOKUP(Table1[[#This Row],[elevator_traction_machine]],'Product inf'!A:B,2,FALSE)</f>
        <v>SP015</v>
      </c>
      <c r="O241" s="6" t="s">
        <v>3</v>
      </c>
      <c r="P241" s="6" t="s">
        <v>9</v>
      </c>
      <c r="Q241" s="6" t="s">
        <v>70</v>
      </c>
      <c r="R241" s="6" t="s">
        <v>68</v>
      </c>
      <c r="S241" s="6">
        <v>600000000</v>
      </c>
      <c r="U241" s="6">
        <v>600000000</v>
      </c>
      <c r="V241" s="6">
        <v>593700000</v>
      </c>
      <c r="X241" s="6">
        <v>30000000</v>
      </c>
      <c r="Y241" s="6">
        <v>8550000</v>
      </c>
      <c r="Z241" s="8">
        <v>45821</v>
      </c>
      <c r="AA241" s="6" t="s">
        <v>2210</v>
      </c>
    </row>
    <row r="242" spans="1:27" x14ac:dyDescent="0.25">
      <c r="A242" s="8">
        <v>45448</v>
      </c>
      <c r="B242" s="6" t="s">
        <v>125</v>
      </c>
      <c r="C242" s="6" t="s">
        <v>1631</v>
      </c>
      <c r="D242" s="6" t="s">
        <v>42</v>
      </c>
      <c r="E242" s="6" t="str">
        <f>VLOOKUP(D242,'shipping inf'!B:D,2,FALSE)</f>
        <v>TP Hồ Chí Minh</v>
      </c>
      <c r="F242" s="6" t="s">
        <v>737</v>
      </c>
      <c r="G242" s="6">
        <v>120</v>
      </c>
      <c r="H242" s="6">
        <v>2410200601</v>
      </c>
      <c r="I242" s="6" t="s">
        <v>1357</v>
      </c>
      <c r="J242" s="6">
        <v>24</v>
      </c>
      <c r="K242" s="6">
        <v>24</v>
      </c>
      <c r="L242" s="6" t="s">
        <v>19</v>
      </c>
      <c r="M242" s="6" t="s">
        <v>37</v>
      </c>
      <c r="N242" s="6" t="str">
        <f>VLOOKUP(Table1[[#This Row],[elevator_traction_machine]],'Product inf'!A:B,2,FALSE)</f>
        <v>SP006</v>
      </c>
      <c r="O242" s="6" t="s">
        <v>3</v>
      </c>
      <c r="P242" s="6" t="s">
        <v>9</v>
      </c>
      <c r="Q242" s="6" t="s">
        <v>67</v>
      </c>
      <c r="R242" s="6" t="s">
        <v>68</v>
      </c>
      <c r="S242" s="6">
        <v>385000000</v>
      </c>
      <c r="U242" s="6">
        <v>385000000</v>
      </c>
      <c r="X242" s="6">
        <v>30000000</v>
      </c>
      <c r="Y242" s="6">
        <v>5325000</v>
      </c>
      <c r="Z242" s="8">
        <v>45448</v>
      </c>
      <c r="AA242" s="6" t="s">
        <v>1979</v>
      </c>
    </row>
    <row r="243" spans="1:27" x14ac:dyDescent="0.25">
      <c r="A243" s="8">
        <v>45797</v>
      </c>
      <c r="B243" s="6" t="s">
        <v>309</v>
      </c>
      <c r="C243" s="6" t="s">
        <v>1632</v>
      </c>
      <c r="D243" s="6" t="s">
        <v>54</v>
      </c>
      <c r="E243" s="6" t="str">
        <f>VLOOKUP(D243,'shipping inf'!B:D,2,FALSE)</f>
        <v>Khánh Hòa</v>
      </c>
      <c r="F243" s="6" t="s">
        <v>738</v>
      </c>
      <c r="G243" s="6">
        <v>75</v>
      </c>
      <c r="H243" s="6">
        <v>2510200601</v>
      </c>
      <c r="I243" s="6" t="s">
        <v>1357</v>
      </c>
      <c r="J243" s="6">
        <v>24</v>
      </c>
      <c r="K243" s="6">
        <v>24</v>
      </c>
      <c r="L243" s="6" t="s">
        <v>15</v>
      </c>
      <c r="M243" s="6" t="s">
        <v>37</v>
      </c>
      <c r="N243" s="6" t="str">
        <f>VLOOKUP(Table1[[#This Row],[elevator_traction_machine]],'Product inf'!A:B,2,FALSE)</f>
        <v>SP015</v>
      </c>
      <c r="O243" s="6" t="s">
        <v>3</v>
      </c>
      <c r="P243" s="6" t="s">
        <v>9</v>
      </c>
      <c r="Q243" s="6" t="s">
        <v>70</v>
      </c>
      <c r="R243" s="6" t="s">
        <v>68</v>
      </c>
      <c r="S243" s="6">
        <v>520000000</v>
      </c>
      <c r="U243" s="6">
        <v>520000000</v>
      </c>
      <c r="V243" s="6">
        <v>546900000</v>
      </c>
      <c r="W243" s="6">
        <v>25000000</v>
      </c>
      <c r="Y243" s="6">
        <v>7800000</v>
      </c>
      <c r="Z243" s="8">
        <v>45798</v>
      </c>
      <c r="AA243" s="6" t="s">
        <v>2210</v>
      </c>
    </row>
    <row r="244" spans="1:27" x14ac:dyDescent="0.25">
      <c r="A244" s="8">
        <v>45463</v>
      </c>
      <c r="B244" s="6" t="s">
        <v>135</v>
      </c>
      <c r="C244" s="6" t="s">
        <v>1633</v>
      </c>
      <c r="D244" s="6" t="s">
        <v>36</v>
      </c>
      <c r="E244" s="6" t="str">
        <f>VLOOKUP(D244,'shipping inf'!B:D,2,FALSE)</f>
        <v>TP Hồ Chí Minh</v>
      </c>
      <c r="F244" s="6" t="s">
        <v>739</v>
      </c>
      <c r="G244" s="6">
        <v>75</v>
      </c>
      <c r="H244" s="6">
        <v>2410200701</v>
      </c>
      <c r="I244" s="6" t="s">
        <v>1357</v>
      </c>
      <c r="J244" s="6">
        <v>24</v>
      </c>
      <c r="K244" s="6">
        <v>24</v>
      </c>
      <c r="L244" s="6" t="s">
        <v>19</v>
      </c>
      <c r="M244" s="6" t="s">
        <v>37</v>
      </c>
      <c r="N244" s="6" t="str">
        <f>VLOOKUP(Table1[[#This Row],[elevator_traction_machine]],'Product inf'!A:B,2,FALSE)</f>
        <v>SP006</v>
      </c>
      <c r="O244" s="6" t="s">
        <v>8</v>
      </c>
      <c r="P244" s="6" t="s">
        <v>9</v>
      </c>
      <c r="Q244" s="6" t="s">
        <v>67</v>
      </c>
      <c r="R244" s="6" t="s">
        <v>68</v>
      </c>
      <c r="S244" s="6">
        <v>668000000</v>
      </c>
      <c r="U244" s="6">
        <v>668000000</v>
      </c>
      <c r="X244" s="6">
        <v>130000000</v>
      </c>
      <c r="Y244" s="6">
        <v>7770000</v>
      </c>
      <c r="Z244" s="8">
        <v>45469</v>
      </c>
      <c r="AA244" s="6" t="s">
        <v>1979</v>
      </c>
    </row>
    <row r="245" spans="1:27" x14ac:dyDescent="0.25">
      <c r="A245" s="8">
        <v>45807</v>
      </c>
      <c r="B245" s="6" t="s">
        <v>319</v>
      </c>
      <c r="C245" s="6" t="s">
        <v>1634</v>
      </c>
      <c r="D245" s="6" t="s">
        <v>36</v>
      </c>
      <c r="E245" s="6" t="str">
        <f>VLOOKUP(D245,'shipping inf'!B:D,2,FALSE)</f>
        <v>TP Hồ Chí Minh</v>
      </c>
      <c r="F245" s="6" t="s">
        <v>740</v>
      </c>
      <c r="G245" s="6">
        <v>105</v>
      </c>
      <c r="H245" s="6">
        <v>2510200701</v>
      </c>
      <c r="I245" s="6" t="s">
        <v>1357</v>
      </c>
      <c r="J245" s="6">
        <v>24</v>
      </c>
      <c r="K245" s="6">
        <v>12</v>
      </c>
      <c r="L245" s="6" t="s">
        <v>19</v>
      </c>
      <c r="M245" s="6" t="s">
        <v>37</v>
      </c>
      <c r="N245" s="6" t="str">
        <f>VLOOKUP(Table1[[#This Row],[elevator_traction_machine]],'Product inf'!A:B,2,FALSE)</f>
        <v>SP006</v>
      </c>
      <c r="O245" s="6" t="s">
        <v>3</v>
      </c>
      <c r="P245" s="6" t="s">
        <v>9</v>
      </c>
      <c r="Q245" s="6" t="s">
        <v>67</v>
      </c>
      <c r="R245" s="6" t="s">
        <v>68</v>
      </c>
      <c r="S245" s="6">
        <v>400000000</v>
      </c>
      <c r="U245" s="6">
        <v>400000000</v>
      </c>
      <c r="V245" s="6">
        <v>416100000</v>
      </c>
      <c r="W245" s="6">
        <v>20000000</v>
      </c>
      <c r="X245" s="6">
        <v>30000000</v>
      </c>
      <c r="Y245" s="6">
        <v>5550000</v>
      </c>
      <c r="Z245" s="8">
        <v>45812</v>
      </c>
      <c r="AA245" s="6" t="s">
        <v>2210</v>
      </c>
    </row>
    <row r="246" spans="1:27" x14ac:dyDescent="0.25">
      <c r="A246" s="8">
        <v>45472</v>
      </c>
      <c r="B246" s="6" t="s">
        <v>137</v>
      </c>
      <c r="C246" s="6" t="s">
        <v>1635</v>
      </c>
      <c r="D246" s="6" t="s">
        <v>36</v>
      </c>
      <c r="E246" s="6" t="str">
        <f>VLOOKUP(D246,'shipping inf'!B:D,2,FALSE)</f>
        <v>TP Hồ Chí Minh</v>
      </c>
      <c r="F246" s="6" t="s">
        <v>741</v>
      </c>
      <c r="G246" s="6">
        <v>90</v>
      </c>
      <c r="H246" s="6">
        <v>2410200801</v>
      </c>
      <c r="I246" s="6" t="s">
        <v>1357</v>
      </c>
      <c r="J246" s="6">
        <v>24</v>
      </c>
      <c r="K246" s="6">
        <v>24</v>
      </c>
      <c r="L246" s="6" t="s">
        <v>19</v>
      </c>
      <c r="M246" s="6" t="s">
        <v>37</v>
      </c>
      <c r="N246" s="6" t="str">
        <f>VLOOKUP(Table1[[#This Row],[elevator_traction_machine]],'Product inf'!A:B,2,FALSE)</f>
        <v>SP006</v>
      </c>
      <c r="O246" s="6" t="s">
        <v>3</v>
      </c>
      <c r="P246" s="6" t="s">
        <v>9</v>
      </c>
      <c r="Q246" s="6" t="s">
        <v>67</v>
      </c>
      <c r="R246" s="6" t="s">
        <v>68</v>
      </c>
      <c r="S246" s="6">
        <v>360000000</v>
      </c>
      <c r="U246" s="6">
        <v>360000000</v>
      </c>
      <c r="V246" s="6">
        <v>365500000</v>
      </c>
      <c r="X246" s="6">
        <v>5000000</v>
      </c>
      <c r="Y246" s="6">
        <v>5325000</v>
      </c>
      <c r="Z246" s="8">
        <v>45474</v>
      </c>
      <c r="AA246" s="6" t="s">
        <v>1979</v>
      </c>
    </row>
    <row r="247" spans="1:27" x14ac:dyDescent="0.25">
      <c r="A247" s="8">
        <v>45821</v>
      </c>
      <c r="B247" s="6" t="s">
        <v>324</v>
      </c>
      <c r="C247" s="6" t="s">
        <v>1636</v>
      </c>
      <c r="D247" s="6" t="s">
        <v>36</v>
      </c>
      <c r="E247" s="6" t="str">
        <f>VLOOKUP(D247,'shipping inf'!B:D,2,FALSE)</f>
        <v>TP Hồ Chí Minh</v>
      </c>
      <c r="F247" s="6" t="s">
        <v>742</v>
      </c>
      <c r="G247" s="6">
        <v>120</v>
      </c>
      <c r="H247" s="6">
        <v>2510200801</v>
      </c>
      <c r="I247" s="6" t="s">
        <v>1357</v>
      </c>
      <c r="J247" s="6">
        <v>24</v>
      </c>
      <c r="K247" s="6">
        <v>24</v>
      </c>
      <c r="L247" s="6" t="s">
        <v>19</v>
      </c>
      <c r="M247" s="6" t="s">
        <v>37</v>
      </c>
      <c r="N247" s="6" t="str">
        <f>VLOOKUP(Table1[[#This Row],[elevator_traction_machine]],'Product inf'!A:B,2,FALSE)</f>
        <v>SP006</v>
      </c>
      <c r="O247" s="6" t="s">
        <v>3</v>
      </c>
      <c r="P247" s="6" t="s">
        <v>9</v>
      </c>
      <c r="Q247" s="6" t="s">
        <v>67</v>
      </c>
      <c r="R247" s="6" t="s">
        <v>68</v>
      </c>
      <c r="S247" s="6">
        <v>385000000</v>
      </c>
      <c r="U247" s="6">
        <v>385000000</v>
      </c>
      <c r="V247" s="6">
        <v>386700000</v>
      </c>
      <c r="X247" s="6">
        <v>10000000</v>
      </c>
      <c r="Y247" s="6">
        <v>5625000</v>
      </c>
      <c r="Z247" s="8">
        <v>45821</v>
      </c>
      <c r="AA247" s="6" t="s">
        <v>2231</v>
      </c>
    </row>
    <row r="248" spans="1:27" x14ac:dyDescent="0.25">
      <c r="A248" s="8">
        <v>45495</v>
      </c>
      <c r="B248" s="6" t="s">
        <v>155</v>
      </c>
      <c r="C248" s="6" t="s">
        <v>1637</v>
      </c>
      <c r="D248" s="6" t="s">
        <v>36</v>
      </c>
      <c r="E248" s="6" t="str">
        <f>VLOOKUP(D248,'shipping inf'!B:D,2,FALSE)</f>
        <v>TP Hồ Chí Minh</v>
      </c>
      <c r="F248" s="6" t="s">
        <v>743</v>
      </c>
      <c r="G248" s="6">
        <v>90</v>
      </c>
      <c r="H248" s="6">
        <v>2410200901</v>
      </c>
      <c r="I248" s="6" t="s">
        <v>1357</v>
      </c>
      <c r="J248" s="6">
        <v>24</v>
      </c>
      <c r="K248" s="6">
        <v>24</v>
      </c>
      <c r="L248" s="6" t="s">
        <v>19</v>
      </c>
      <c r="M248" s="6" t="s">
        <v>37</v>
      </c>
      <c r="N248" s="6" t="str">
        <f>VLOOKUP(Table1[[#This Row],[elevator_traction_machine]],'Product inf'!A:B,2,FALSE)</f>
        <v>SP006</v>
      </c>
      <c r="O248" s="6" t="s">
        <v>8</v>
      </c>
      <c r="P248" s="6" t="s">
        <v>9</v>
      </c>
      <c r="Q248" s="6" t="s">
        <v>67</v>
      </c>
      <c r="R248" s="6" t="s">
        <v>68</v>
      </c>
      <c r="S248" s="6">
        <v>560000000</v>
      </c>
      <c r="U248" s="6">
        <v>560000000</v>
      </c>
      <c r="X248" s="6">
        <v>15000000</v>
      </c>
      <c r="Y248" s="6">
        <v>8175000</v>
      </c>
      <c r="Z248" s="8">
        <v>45497</v>
      </c>
      <c r="AA248" s="6" t="s">
        <v>2000</v>
      </c>
    </row>
    <row r="249" spans="1:27" x14ac:dyDescent="0.25">
      <c r="A249" s="8">
        <v>45834</v>
      </c>
      <c r="B249" s="6" t="s">
        <v>315</v>
      </c>
      <c r="C249" s="6" t="s">
        <v>1638</v>
      </c>
      <c r="D249" s="6" t="s">
        <v>36</v>
      </c>
      <c r="E249" s="6" t="str">
        <f>VLOOKUP(D249,'shipping inf'!B:D,2,FALSE)</f>
        <v>TP Hồ Chí Minh</v>
      </c>
      <c r="F249" s="6" t="s">
        <v>744</v>
      </c>
      <c r="G249" s="6">
        <v>50</v>
      </c>
      <c r="H249" s="6">
        <v>2510200901</v>
      </c>
      <c r="I249" s="6" t="s">
        <v>1357</v>
      </c>
      <c r="J249" s="6">
        <v>24</v>
      </c>
      <c r="K249" s="6">
        <v>24</v>
      </c>
      <c r="L249" s="6" t="s">
        <v>19</v>
      </c>
      <c r="M249" s="6" t="s">
        <v>37</v>
      </c>
      <c r="N249" s="6" t="str">
        <f>VLOOKUP(Table1[[#This Row],[elevator_traction_machine]],'Product inf'!A:B,2,FALSE)</f>
        <v>SP006</v>
      </c>
      <c r="O249" s="6" t="s">
        <v>8</v>
      </c>
      <c r="P249" s="6" t="s">
        <v>9</v>
      </c>
      <c r="Q249" s="6" t="s">
        <v>67</v>
      </c>
      <c r="R249" s="6" t="s">
        <v>68</v>
      </c>
      <c r="S249" s="6">
        <v>435000000</v>
      </c>
      <c r="U249" s="6">
        <v>435000000</v>
      </c>
      <c r="V249" s="6">
        <v>435800000</v>
      </c>
      <c r="X249" s="6">
        <v>25000000</v>
      </c>
      <c r="Y249" s="6">
        <v>6150000</v>
      </c>
      <c r="Z249" s="8">
        <v>45803</v>
      </c>
      <c r="AA249" s="6" t="s">
        <v>2231</v>
      </c>
    </row>
    <row r="250" spans="1:27" x14ac:dyDescent="0.25">
      <c r="A250" s="8">
        <v>45503</v>
      </c>
      <c r="B250" s="6" t="s">
        <v>174</v>
      </c>
      <c r="C250" s="6" t="s">
        <v>1639</v>
      </c>
      <c r="D250" s="6" t="s">
        <v>44</v>
      </c>
      <c r="E250" s="6" t="str">
        <f>VLOOKUP(D250,'shipping inf'!B:D,2,FALSE)</f>
        <v>Lâm Đồng</v>
      </c>
      <c r="F250" s="6" t="s">
        <v>745</v>
      </c>
      <c r="G250" s="6">
        <v>75</v>
      </c>
      <c r="H250" s="6">
        <v>2410201001</v>
      </c>
      <c r="I250" s="6" t="s">
        <v>1357</v>
      </c>
      <c r="J250" s="6">
        <v>24</v>
      </c>
      <c r="K250" s="6">
        <v>24</v>
      </c>
      <c r="L250" s="6" t="s">
        <v>19</v>
      </c>
      <c r="M250" s="6" t="s">
        <v>37</v>
      </c>
      <c r="N250" s="6" t="str">
        <f>VLOOKUP(Table1[[#This Row],[elevator_traction_machine]],'Product inf'!A:B,2,FALSE)</f>
        <v>SP015</v>
      </c>
      <c r="O250" s="6" t="s">
        <v>3</v>
      </c>
      <c r="P250" s="6" t="s">
        <v>9</v>
      </c>
      <c r="Q250" s="6" t="s">
        <v>70</v>
      </c>
      <c r="R250" s="6" t="s">
        <v>68</v>
      </c>
      <c r="S250" s="6">
        <v>485000000</v>
      </c>
      <c r="U250" s="6">
        <v>485000000</v>
      </c>
      <c r="X250" s="6">
        <v>30000000</v>
      </c>
      <c r="Y250" s="6">
        <v>6825000</v>
      </c>
      <c r="Z250" s="8">
        <v>45526</v>
      </c>
      <c r="AA250" s="6" t="s">
        <v>2000</v>
      </c>
    </row>
    <row r="251" spans="1:27" x14ac:dyDescent="0.25">
      <c r="A251" s="8">
        <v>45845</v>
      </c>
      <c r="B251" s="6" t="s">
        <v>346</v>
      </c>
      <c r="C251" s="6" t="s">
        <v>1640</v>
      </c>
      <c r="D251" s="6" t="s">
        <v>36</v>
      </c>
      <c r="E251" s="6" t="str">
        <f>VLOOKUP(D251,'shipping inf'!B:D,2,FALSE)</f>
        <v>TP Hồ Chí Minh</v>
      </c>
      <c r="F251" s="6" t="s">
        <v>746</v>
      </c>
      <c r="G251" s="6">
        <v>55</v>
      </c>
      <c r="H251" s="6">
        <v>2510201001</v>
      </c>
      <c r="I251" s="6" t="s">
        <v>1357</v>
      </c>
      <c r="J251" s="6">
        <v>24</v>
      </c>
      <c r="K251" s="6">
        <v>24</v>
      </c>
      <c r="L251" s="6" t="s">
        <v>19</v>
      </c>
      <c r="M251" s="6" t="s">
        <v>37</v>
      </c>
      <c r="N251" s="6" t="str">
        <f>VLOOKUP(Table1[[#This Row],[elevator_traction_machine]],'Product inf'!A:B,2,FALSE)</f>
        <v>SP006</v>
      </c>
      <c r="O251" s="6" t="s">
        <v>3</v>
      </c>
      <c r="P251" s="6" t="s">
        <v>9</v>
      </c>
      <c r="Q251" s="6" t="s">
        <v>67</v>
      </c>
      <c r="R251" s="6" t="s">
        <v>68</v>
      </c>
      <c r="S251" s="6">
        <v>419000000</v>
      </c>
      <c r="U251" s="6">
        <v>419000000</v>
      </c>
      <c r="V251" s="6">
        <v>417100000</v>
      </c>
      <c r="X251" s="6">
        <v>30000000</v>
      </c>
      <c r="Y251" s="6">
        <v>10000000</v>
      </c>
      <c r="Z251" s="8">
        <v>45846</v>
      </c>
      <c r="AA251" s="6" t="s">
        <v>2252</v>
      </c>
    </row>
    <row r="252" spans="1:27" x14ac:dyDescent="0.25">
      <c r="A252" s="8">
        <v>45531</v>
      </c>
      <c r="B252" s="6" t="s">
        <v>180</v>
      </c>
      <c r="C252" s="6" t="s">
        <v>1641</v>
      </c>
      <c r="D252" s="6" t="s">
        <v>36</v>
      </c>
      <c r="E252" s="6" t="str">
        <f>VLOOKUP(D252,'shipping inf'!B:D,2,FALSE)</f>
        <v>TP Hồ Chí Minh</v>
      </c>
      <c r="F252" s="6" t="s">
        <v>747</v>
      </c>
      <c r="G252" s="6">
        <v>90</v>
      </c>
      <c r="H252" s="6">
        <v>2410201101</v>
      </c>
      <c r="I252" s="6" t="s">
        <v>1357</v>
      </c>
      <c r="J252" s="6">
        <v>24</v>
      </c>
      <c r="K252" s="6">
        <v>24</v>
      </c>
      <c r="L252" s="6" t="s">
        <v>19</v>
      </c>
      <c r="M252" s="6" t="s">
        <v>37</v>
      </c>
      <c r="N252" s="6" t="str">
        <f>VLOOKUP(Table1[[#This Row],[elevator_traction_machine]],'Product inf'!A:B,2,FALSE)</f>
        <v>SP006</v>
      </c>
      <c r="O252" s="6" t="s">
        <v>3</v>
      </c>
      <c r="P252" s="6" t="s">
        <v>9</v>
      </c>
      <c r="Q252" s="6" t="s">
        <v>67</v>
      </c>
      <c r="R252" s="6" t="s">
        <v>68</v>
      </c>
      <c r="S252" s="6">
        <v>425000000</v>
      </c>
      <c r="U252" s="6">
        <v>425000000</v>
      </c>
      <c r="V252" s="6">
        <v>360180000</v>
      </c>
      <c r="X252" s="6">
        <v>60000000</v>
      </c>
      <c r="Y252" s="6">
        <v>5475000</v>
      </c>
      <c r="Z252" s="8">
        <v>45532</v>
      </c>
      <c r="AA252" s="6" t="s">
        <v>2021</v>
      </c>
    </row>
    <row r="253" spans="1:27" x14ac:dyDescent="0.25">
      <c r="A253" s="8">
        <v>45855</v>
      </c>
      <c r="B253" s="6" t="s">
        <v>351</v>
      </c>
      <c r="C253" s="6" t="s">
        <v>1642</v>
      </c>
      <c r="D253" s="6" t="s">
        <v>39</v>
      </c>
      <c r="E253" s="6" t="str">
        <f>VLOOKUP(D253,'shipping inf'!B:D,2,FALSE)</f>
        <v>An Giang</v>
      </c>
      <c r="F253" s="6" t="s">
        <v>748</v>
      </c>
      <c r="G253" s="6">
        <v>75</v>
      </c>
      <c r="H253" s="6">
        <v>2510201101</v>
      </c>
      <c r="I253" s="6" t="s">
        <v>1357</v>
      </c>
      <c r="J253" s="6">
        <v>24</v>
      </c>
      <c r="K253" s="6">
        <v>24</v>
      </c>
      <c r="L253" s="6" t="s">
        <v>19</v>
      </c>
      <c r="M253" s="6" t="s">
        <v>37</v>
      </c>
      <c r="N253" s="6" t="str">
        <f>VLOOKUP(Table1[[#This Row],[elevator_traction_machine]],'Product inf'!A:B,2,FALSE)</f>
        <v>SP006</v>
      </c>
      <c r="O253" s="6" t="s">
        <v>3</v>
      </c>
      <c r="P253" s="6" t="s">
        <v>9</v>
      </c>
      <c r="Q253" s="6" t="s">
        <v>67</v>
      </c>
      <c r="R253" s="6" t="s">
        <v>68</v>
      </c>
      <c r="S253" s="6">
        <v>540000000</v>
      </c>
      <c r="U253" s="6">
        <v>540000000</v>
      </c>
      <c r="V253" s="6">
        <v>537700000</v>
      </c>
      <c r="X253" s="6">
        <v>30000000</v>
      </c>
      <c r="Y253" s="6">
        <v>10000000</v>
      </c>
      <c r="Z253" s="8">
        <v>45855</v>
      </c>
      <c r="AA253" s="6" t="s">
        <v>2252</v>
      </c>
    </row>
    <row r="254" spans="1:27" x14ac:dyDescent="0.25">
      <c r="A254" s="8">
        <v>45642</v>
      </c>
      <c r="B254" s="6" t="s">
        <v>240</v>
      </c>
      <c r="C254" s="6" t="s">
        <v>1643</v>
      </c>
      <c r="D254" s="6" t="s">
        <v>36</v>
      </c>
      <c r="E254" s="6" t="str">
        <f>VLOOKUP(D254,'shipping inf'!B:D,2,FALSE)</f>
        <v>TP Hồ Chí Minh</v>
      </c>
      <c r="F254" s="6" t="s">
        <v>749</v>
      </c>
      <c r="G254" s="6">
        <v>120</v>
      </c>
      <c r="H254" s="6">
        <v>2410201201</v>
      </c>
      <c r="I254" s="6" t="s">
        <v>1357</v>
      </c>
      <c r="J254" s="6">
        <v>24</v>
      </c>
      <c r="K254" s="6">
        <v>24</v>
      </c>
      <c r="L254" s="6" t="s">
        <v>19</v>
      </c>
      <c r="M254" s="6" t="s">
        <v>37</v>
      </c>
      <c r="N254" s="6" t="str">
        <f>VLOOKUP(Table1[[#This Row],[elevator_traction_machine]],'Product inf'!A:B,2,FALSE)</f>
        <v>SP006</v>
      </c>
      <c r="O254" s="6" t="s">
        <v>3</v>
      </c>
      <c r="P254" s="6" t="s">
        <v>9</v>
      </c>
      <c r="Q254" s="6" t="s">
        <v>67</v>
      </c>
      <c r="R254" s="6" t="s">
        <v>68</v>
      </c>
      <c r="S254" s="6">
        <v>390000000</v>
      </c>
      <c r="U254" s="6">
        <v>390000000</v>
      </c>
      <c r="V254" s="6">
        <v>382600000</v>
      </c>
      <c r="X254" s="6">
        <v>10000000</v>
      </c>
      <c r="Y254" s="6">
        <v>5700000</v>
      </c>
      <c r="Z254" s="8">
        <v>45643</v>
      </c>
      <c r="AA254" s="6" t="s">
        <v>2105</v>
      </c>
    </row>
    <row r="255" spans="1:27" x14ac:dyDescent="0.25">
      <c r="A255" s="8">
        <v>45579</v>
      </c>
      <c r="B255" s="6" t="s">
        <v>205</v>
      </c>
      <c r="C255" s="6" t="s">
        <v>1644</v>
      </c>
      <c r="D255" s="6" t="s">
        <v>36</v>
      </c>
      <c r="E255" s="6" t="str">
        <f>VLOOKUP(D255,'shipping inf'!B:D,2,FALSE)</f>
        <v>TP Hồ Chí Minh</v>
      </c>
      <c r="F255" s="6" t="s">
        <v>750</v>
      </c>
      <c r="G255" s="6">
        <v>65</v>
      </c>
      <c r="H255" s="6">
        <v>2410201301</v>
      </c>
      <c r="I255" s="6" t="s">
        <v>1357</v>
      </c>
      <c r="J255" s="6">
        <v>24</v>
      </c>
      <c r="K255" s="6">
        <v>24</v>
      </c>
      <c r="L255" s="6" t="s">
        <v>19</v>
      </c>
      <c r="M255" s="6" t="s">
        <v>37</v>
      </c>
      <c r="N255" s="6" t="str">
        <f>VLOOKUP(Table1[[#This Row],[elevator_traction_machine]],'Product inf'!A:B,2,FALSE)</f>
        <v>SP006</v>
      </c>
      <c r="O255" s="6" t="s">
        <v>3</v>
      </c>
      <c r="P255" s="6" t="s">
        <v>9</v>
      </c>
      <c r="Q255" s="6" t="s">
        <v>67</v>
      </c>
      <c r="R255" s="6" t="s">
        <v>68</v>
      </c>
      <c r="S255" s="6">
        <v>380000000</v>
      </c>
      <c r="U255" s="6">
        <v>380000000</v>
      </c>
      <c r="V255" s="6">
        <v>371000000</v>
      </c>
      <c r="X255" s="6">
        <v>15000000</v>
      </c>
      <c r="Y255" s="6">
        <v>5475000</v>
      </c>
      <c r="Z255" s="8">
        <v>45580</v>
      </c>
      <c r="AA255" s="6" t="s">
        <v>2063</v>
      </c>
    </row>
    <row r="256" spans="1:27" x14ac:dyDescent="0.25">
      <c r="A256" s="8">
        <v>45916</v>
      </c>
      <c r="B256" s="6" t="s">
        <v>392</v>
      </c>
      <c r="C256" s="6" t="s">
        <v>1645</v>
      </c>
      <c r="D256" s="6" t="s">
        <v>36</v>
      </c>
      <c r="E256" s="6" t="str">
        <f>VLOOKUP(D256,'shipping inf'!B:D,2,FALSE)</f>
        <v>TP Hồ Chí Minh</v>
      </c>
      <c r="F256" s="6" t="s">
        <v>751</v>
      </c>
      <c r="G256" s="6">
        <v>90</v>
      </c>
      <c r="H256" s="6">
        <v>2510201301</v>
      </c>
      <c r="I256" s="6" t="s">
        <v>1357</v>
      </c>
      <c r="J256" s="6">
        <v>24</v>
      </c>
      <c r="K256" s="6">
        <v>24</v>
      </c>
      <c r="L256" s="6" t="s">
        <v>19</v>
      </c>
      <c r="M256" s="6" t="s">
        <v>37</v>
      </c>
      <c r="N256" s="6" t="str">
        <f>VLOOKUP(Table1[[#This Row],[elevator_traction_machine]],'Product inf'!A:B,2,FALSE)</f>
        <v>SP006</v>
      </c>
      <c r="O256" s="6" t="s">
        <v>3</v>
      </c>
      <c r="P256" s="6" t="s">
        <v>9</v>
      </c>
      <c r="Q256" s="6" t="s">
        <v>67</v>
      </c>
      <c r="R256" s="6" t="s">
        <v>68</v>
      </c>
      <c r="S256" s="6">
        <v>380000000</v>
      </c>
      <c r="U256" s="6">
        <v>380000000</v>
      </c>
      <c r="V256" s="6">
        <v>385500000</v>
      </c>
      <c r="X256" s="6">
        <v>20000000</v>
      </c>
      <c r="Y256" s="6">
        <v>6000000</v>
      </c>
      <c r="Z256" s="8">
        <v>45929</v>
      </c>
      <c r="AA256" s="6" t="s">
        <v>2294</v>
      </c>
    </row>
    <row r="257" spans="1:27" x14ac:dyDescent="0.25">
      <c r="A257" s="8">
        <v>45596</v>
      </c>
      <c r="B257" s="6" t="s">
        <v>220</v>
      </c>
      <c r="C257" s="6" t="s">
        <v>1646</v>
      </c>
      <c r="D257" s="6" t="s">
        <v>36</v>
      </c>
      <c r="E257" s="6" t="str">
        <f>VLOOKUP(D257,'shipping inf'!B:D,2,FALSE)</f>
        <v>TP Hồ Chí Minh</v>
      </c>
      <c r="F257" s="6" t="s">
        <v>752</v>
      </c>
      <c r="G257" s="6">
        <v>75</v>
      </c>
      <c r="H257" s="6">
        <v>2410201401</v>
      </c>
      <c r="I257" s="6" t="s">
        <v>1357</v>
      </c>
      <c r="J257" s="6">
        <v>24</v>
      </c>
      <c r="K257" s="6">
        <v>24</v>
      </c>
      <c r="L257" s="6" t="s">
        <v>19</v>
      </c>
      <c r="M257" s="6" t="s">
        <v>37</v>
      </c>
      <c r="N257" s="6" t="str">
        <f>VLOOKUP(Table1[[#This Row],[elevator_traction_machine]],'Product inf'!A:B,2,FALSE)</f>
        <v>SP006</v>
      </c>
      <c r="O257" s="6" t="s">
        <v>8</v>
      </c>
      <c r="P257" s="6" t="s">
        <v>9</v>
      </c>
      <c r="Q257" s="6" t="s">
        <v>67</v>
      </c>
      <c r="R257" s="6" t="s">
        <v>68</v>
      </c>
      <c r="S257" s="6">
        <v>527000000</v>
      </c>
      <c r="U257" s="6">
        <v>527000000</v>
      </c>
      <c r="V257" s="6">
        <v>571600000</v>
      </c>
      <c r="Y257" s="6">
        <v>7905000</v>
      </c>
      <c r="Z257" s="8">
        <v>45598</v>
      </c>
      <c r="AA257" s="6" t="s">
        <v>2063</v>
      </c>
    </row>
    <row r="258" spans="1:27" x14ac:dyDescent="0.25">
      <c r="A258" s="8">
        <v>45979</v>
      </c>
      <c r="B258" s="6" t="s">
        <v>445</v>
      </c>
      <c r="C258" s="6" t="s">
        <v>1647</v>
      </c>
      <c r="D258" s="6" t="s">
        <v>36</v>
      </c>
      <c r="E258" s="6" t="str">
        <f>VLOOKUP(D258,'shipping inf'!B:D,2,FALSE)</f>
        <v>TP Hồ Chí Minh</v>
      </c>
      <c r="F258" s="6" t="s">
        <v>753</v>
      </c>
      <c r="G258" s="6">
        <v>60</v>
      </c>
      <c r="H258" s="6">
        <v>2510201401</v>
      </c>
      <c r="I258" s="6" t="s">
        <v>1357</v>
      </c>
      <c r="J258" s="6">
        <v>24</v>
      </c>
      <c r="K258" s="6">
        <v>24</v>
      </c>
      <c r="L258" s="6" t="s">
        <v>19</v>
      </c>
      <c r="M258" s="6" t="s">
        <v>37</v>
      </c>
      <c r="N258" s="6" t="str">
        <f>VLOOKUP(Table1[[#This Row],[elevator_traction_machine]],'Product inf'!A:B,2,FALSE)</f>
        <v>SP006</v>
      </c>
      <c r="O258" s="6" t="s">
        <v>8</v>
      </c>
      <c r="P258" s="6" t="s">
        <v>9</v>
      </c>
      <c r="Q258" s="6" t="s">
        <v>67</v>
      </c>
      <c r="R258" s="6" t="s">
        <v>68</v>
      </c>
      <c r="S258" s="6">
        <v>350000000</v>
      </c>
      <c r="U258" s="6">
        <v>350000000</v>
      </c>
      <c r="V258" s="6">
        <v>350500000</v>
      </c>
      <c r="X258" s="6">
        <v>15000000</v>
      </c>
      <c r="Y258" s="6">
        <v>10000000</v>
      </c>
      <c r="Z258" s="8">
        <v>45980</v>
      </c>
      <c r="AA258" s="6" t="s">
        <v>2336</v>
      </c>
    </row>
    <row r="259" spans="1:27" x14ac:dyDescent="0.25">
      <c r="A259" s="8">
        <v>45616</v>
      </c>
      <c r="B259" s="6" t="s">
        <v>227</v>
      </c>
      <c r="C259" s="6" t="s">
        <v>1648</v>
      </c>
      <c r="D259" s="6" t="s">
        <v>36</v>
      </c>
      <c r="E259" s="6" t="str">
        <f>VLOOKUP(D259,'shipping inf'!B:D,2,FALSE)</f>
        <v>TP Hồ Chí Minh</v>
      </c>
      <c r="F259" s="6" t="s">
        <v>754</v>
      </c>
      <c r="G259" s="6">
        <v>60</v>
      </c>
      <c r="H259" s="6">
        <v>2410201501</v>
      </c>
      <c r="I259" s="6" t="s">
        <v>1357</v>
      </c>
      <c r="J259" s="6">
        <v>24</v>
      </c>
      <c r="K259" s="6">
        <v>24</v>
      </c>
      <c r="L259" s="6" t="s">
        <v>15</v>
      </c>
      <c r="M259" s="6" t="s">
        <v>37</v>
      </c>
      <c r="N259" s="6" t="str">
        <f>VLOOKUP(Table1[[#This Row],[elevator_traction_machine]],'Product inf'!A:B,2,FALSE)</f>
        <v>SP015</v>
      </c>
      <c r="O259" s="6" t="s">
        <v>3</v>
      </c>
      <c r="P259" s="6" t="s">
        <v>9</v>
      </c>
      <c r="Q259" s="6" t="s">
        <v>70</v>
      </c>
      <c r="R259" s="6" t="s">
        <v>68</v>
      </c>
      <c r="S259" s="6">
        <v>370000000</v>
      </c>
      <c r="U259" s="6">
        <v>370000000</v>
      </c>
      <c r="V259" s="6">
        <v>380558000</v>
      </c>
      <c r="X259" s="6">
        <v>5000000</v>
      </c>
      <c r="Y259" s="6">
        <v>5475000</v>
      </c>
      <c r="Z259" s="8">
        <v>45618</v>
      </c>
      <c r="AA259" s="6" t="s">
        <v>2084</v>
      </c>
    </row>
    <row r="260" spans="1:27" x14ac:dyDescent="0.25">
      <c r="A260" s="8">
        <v>45623</v>
      </c>
      <c r="B260" s="6" t="s">
        <v>231</v>
      </c>
      <c r="C260" s="6" t="s">
        <v>1649</v>
      </c>
      <c r="D260" s="6" t="s">
        <v>36</v>
      </c>
      <c r="E260" s="6" t="str">
        <f>VLOOKUP(D260,'shipping inf'!B:D,2,FALSE)</f>
        <v>TP Hồ Chí Minh</v>
      </c>
      <c r="F260" s="6" t="s">
        <v>755</v>
      </c>
      <c r="G260" s="6">
        <v>120</v>
      </c>
      <c r="H260" s="6">
        <v>2410201601</v>
      </c>
      <c r="I260" s="6" t="s">
        <v>1357</v>
      </c>
      <c r="J260" s="6">
        <v>36</v>
      </c>
      <c r="K260" s="6">
        <v>36</v>
      </c>
      <c r="L260" s="6" t="s">
        <v>19</v>
      </c>
      <c r="M260" s="6" t="s">
        <v>37</v>
      </c>
      <c r="N260" s="6" t="str">
        <f>VLOOKUP(Table1[[#This Row],[elevator_traction_machine]],'Product inf'!A:B,2,FALSE)</f>
        <v>SP015</v>
      </c>
      <c r="O260" s="6" t="s">
        <v>3</v>
      </c>
      <c r="P260" s="6" t="s">
        <v>9</v>
      </c>
      <c r="Q260" s="6" t="s">
        <v>70</v>
      </c>
      <c r="R260" s="6" t="s">
        <v>68</v>
      </c>
      <c r="S260" s="6">
        <v>380000000</v>
      </c>
      <c r="U260" s="6">
        <v>380000000</v>
      </c>
      <c r="V260" s="6">
        <v>349386000</v>
      </c>
      <c r="X260" s="6">
        <v>30000000</v>
      </c>
      <c r="Y260" s="6">
        <v>5250000</v>
      </c>
      <c r="Z260" s="8">
        <v>45624</v>
      </c>
      <c r="AA260" s="6" t="s">
        <v>2084</v>
      </c>
    </row>
    <row r="261" spans="1:27" x14ac:dyDescent="0.25">
      <c r="A261" s="8">
        <v>45624</v>
      </c>
      <c r="B261" s="6" t="s">
        <v>232</v>
      </c>
      <c r="C261" s="6" t="s">
        <v>1650</v>
      </c>
      <c r="D261" s="6" t="s">
        <v>36</v>
      </c>
      <c r="E261" s="6" t="str">
        <f>VLOOKUP(D261,'shipping inf'!B:D,2,FALSE)</f>
        <v>TP Hồ Chí Minh</v>
      </c>
      <c r="F261" s="6" t="s">
        <v>756</v>
      </c>
      <c r="G261" s="6">
        <v>120</v>
      </c>
      <c r="H261" s="6">
        <v>2410201701</v>
      </c>
      <c r="I261" s="6" t="s">
        <v>1357</v>
      </c>
      <c r="J261" s="6">
        <v>24</v>
      </c>
      <c r="K261" s="6">
        <v>24</v>
      </c>
      <c r="L261" s="6" t="s">
        <v>15</v>
      </c>
      <c r="M261" s="6" t="s">
        <v>37</v>
      </c>
      <c r="N261" s="6" t="str">
        <f>VLOOKUP(Table1[[#This Row],[elevator_traction_machine]],'Product inf'!A:B,2,FALSE)</f>
        <v>SP006</v>
      </c>
      <c r="O261" s="6" t="s">
        <v>3</v>
      </c>
      <c r="P261" s="6" t="s">
        <v>9</v>
      </c>
      <c r="Q261" s="6" t="s">
        <v>67</v>
      </c>
      <c r="R261" s="6" t="s">
        <v>68</v>
      </c>
      <c r="S261" s="6">
        <v>375000000</v>
      </c>
      <c r="U261" s="6">
        <v>375000000</v>
      </c>
      <c r="V261" s="6">
        <v>387812000</v>
      </c>
      <c r="X261" s="6">
        <v>10000000</v>
      </c>
      <c r="Y261" s="6">
        <v>5475000</v>
      </c>
      <c r="Z261" s="8">
        <v>45624</v>
      </c>
      <c r="AA261" s="6" t="s">
        <v>2084</v>
      </c>
    </row>
    <row r="262" spans="1:27" x14ac:dyDescent="0.25">
      <c r="A262" s="8">
        <v>46100</v>
      </c>
      <c r="B262" s="6" t="s">
        <v>500</v>
      </c>
      <c r="C262" s="6" t="s">
        <v>1651</v>
      </c>
      <c r="D262" s="6" t="s">
        <v>36</v>
      </c>
      <c r="E262" s="6" t="str">
        <f>VLOOKUP(D262,'shipping inf'!B:D,2,FALSE)</f>
        <v>TP Hồ Chí Minh</v>
      </c>
      <c r="F262" s="6" t="s">
        <v>757</v>
      </c>
      <c r="G262" s="6">
        <v>45</v>
      </c>
      <c r="H262" s="6">
        <v>2612900101</v>
      </c>
      <c r="I262" s="6" t="s">
        <v>1358</v>
      </c>
      <c r="J262" s="6">
        <v>24</v>
      </c>
      <c r="K262" s="6">
        <v>12</v>
      </c>
      <c r="L262" s="6" t="s">
        <v>2</v>
      </c>
      <c r="M262" s="6" t="s">
        <v>37</v>
      </c>
      <c r="N262" s="6" t="str">
        <f>VLOOKUP(Table1[[#This Row],[elevator_traction_machine]],'Product inf'!A:B,2,FALSE)</f>
        <v>SP006</v>
      </c>
      <c r="O262" s="6" t="s">
        <v>8</v>
      </c>
      <c r="P262" s="6" t="s">
        <v>9</v>
      </c>
      <c r="Q262" s="6" t="s">
        <v>67</v>
      </c>
      <c r="R262" s="6" t="s">
        <v>267</v>
      </c>
      <c r="S262" s="6">
        <v>400000000</v>
      </c>
      <c r="U262" s="6">
        <v>400000000</v>
      </c>
      <c r="V262" s="6">
        <v>400000000</v>
      </c>
      <c r="Y262" s="6">
        <v>5500000</v>
      </c>
      <c r="Z262" s="8">
        <v>46100</v>
      </c>
      <c r="AA262" s="6" t="s">
        <v>2439</v>
      </c>
    </row>
    <row r="263" spans="1:27" x14ac:dyDescent="0.25">
      <c r="A263" s="8">
        <v>45414</v>
      </c>
      <c r="B263" s="6" t="s">
        <v>99</v>
      </c>
      <c r="C263" s="6" t="s">
        <v>1652</v>
      </c>
      <c r="D263" s="6" t="s">
        <v>36</v>
      </c>
      <c r="E263" s="6" t="str">
        <f>VLOOKUP(D263,'shipping inf'!B:D,2,FALSE)</f>
        <v>TP Hồ Chí Minh</v>
      </c>
      <c r="F263" s="6" t="s">
        <v>758</v>
      </c>
      <c r="G263" s="6">
        <v>90</v>
      </c>
      <c r="H263" s="6">
        <v>2410300101</v>
      </c>
      <c r="I263" s="6" t="s">
        <v>1366</v>
      </c>
      <c r="J263" s="6">
        <v>24</v>
      </c>
      <c r="K263" s="6">
        <v>12</v>
      </c>
      <c r="L263" s="6" t="s">
        <v>19</v>
      </c>
      <c r="M263" s="6" t="s">
        <v>37</v>
      </c>
      <c r="N263" s="6" t="str">
        <f>VLOOKUP(Table1[[#This Row],[elevator_traction_machine]],'Product inf'!A:B,2,FALSE)</f>
        <v>SP015</v>
      </c>
      <c r="O263" s="6" t="s">
        <v>8</v>
      </c>
      <c r="P263" s="6" t="s">
        <v>9</v>
      </c>
      <c r="Q263" s="6" t="s">
        <v>70</v>
      </c>
      <c r="R263" s="6" t="s">
        <v>68</v>
      </c>
      <c r="S263" s="6">
        <v>495000000</v>
      </c>
      <c r="U263" s="6">
        <v>495000000</v>
      </c>
      <c r="V263" s="6">
        <v>479800000</v>
      </c>
      <c r="X263" s="6">
        <v>20000000</v>
      </c>
      <c r="Y263" s="6">
        <v>10000000</v>
      </c>
      <c r="Z263" s="8">
        <v>45414</v>
      </c>
      <c r="AA263" s="6" t="s">
        <v>1966</v>
      </c>
    </row>
    <row r="264" spans="1:27" x14ac:dyDescent="0.25">
      <c r="A264" s="8">
        <v>45678</v>
      </c>
      <c r="B264" s="6" t="s">
        <v>249</v>
      </c>
      <c r="C264" s="6" t="s">
        <v>1653</v>
      </c>
      <c r="D264" s="6" t="s">
        <v>36</v>
      </c>
      <c r="E264" s="6" t="str">
        <f>VLOOKUP(D264,'shipping inf'!B:D,2,FALSE)</f>
        <v>TP Hồ Chí Minh</v>
      </c>
      <c r="F264" s="6" t="s">
        <v>759</v>
      </c>
      <c r="G264" s="6">
        <v>120</v>
      </c>
      <c r="H264" s="6">
        <v>2510300101</v>
      </c>
      <c r="I264" s="6" t="s">
        <v>1366</v>
      </c>
      <c r="J264" s="6">
        <v>24</v>
      </c>
      <c r="K264" s="6">
        <v>24</v>
      </c>
      <c r="L264" s="6" t="s">
        <v>19</v>
      </c>
      <c r="M264" s="6" t="s">
        <v>37</v>
      </c>
      <c r="N264" s="6" t="str">
        <f>VLOOKUP(Table1[[#This Row],[elevator_traction_machine]],'Product inf'!A:B,2,FALSE)</f>
        <v>SP015</v>
      </c>
      <c r="O264" s="6" t="s">
        <v>3</v>
      </c>
      <c r="P264" s="6" t="s">
        <v>9</v>
      </c>
      <c r="Q264" s="6" t="s">
        <v>70</v>
      </c>
      <c r="R264" s="6" t="s">
        <v>68</v>
      </c>
      <c r="S264" s="6">
        <v>430000000</v>
      </c>
      <c r="U264" s="6">
        <v>430000000</v>
      </c>
      <c r="V264" s="6">
        <v>455500000</v>
      </c>
      <c r="X264" s="6">
        <v>0</v>
      </c>
      <c r="Y264" s="6">
        <v>6000000</v>
      </c>
      <c r="Z264" s="8">
        <v>45694</v>
      </c>
      <c r="AA264" s="6" t="s">
        <v>2134</v>
      </c>
    </row>
    <row r="265" spans="1:27" x14ac:dyDescent="0.25">
      <c r="A265" s="8">
        <v>45527</v>
      </c>
      <c r="B265" s="6" t="s">
        <v>179</v>
      </c>
      <c r="C265" s="6" t="s">
        <v>1654</v>
      </c>
      <c r="D265" s="6" t="s">
        <v>36</v>
      </c>
      <c r="E265" s="6" t="str">
        <f>VLOOKUP(D265,'shipping inf'!B:D,2,FALSE)</f>
        <v>TP Hồ Chí Minh</v>
      </c>
      <c r="F265" s="6" t="s">
        <v>760</v>
      </c>
      <c r="G265" s="6">
        <v>105</v>
      </c>
      <c r="H265" s="6">
        <v>2410300201</v>
      </c>
      <c r="I265" s="6" t="s">
        <v>1366</v>
      </c>
      <c r="J265" s="6">
        <v>24</v>
      </c>
      <c r="K265" s="6">
        <v>24</v>
      </c>
      <c r="L265" s="6" t="s">
        <v>19</v>
      </c>
      <c r="M265" s="6" t="s">
        <v>37</v>
      </c>
      <c r="N265" s="6" t="str">
        <f>VLOOKUP(Table1[[#This Row],[elevator_traction_machine]],'Product inf'!A:B,2,FALSE)</f>
        <v>SP015</v>
      </c>
      <c r="O265" s="6" t="s">
        <v>3</v>
      </c>
      <c r="P265" s="6" t="s">
        <v>9</v>
      </c>
      <c r="Q265" s="6" t="s">
        <v>70</v>
      </c>
      <c r="R265" s="6" t="s">
        <v>68</v>
      </c>
      <c r="S265" s="6">
        <v>530000000</v>
      </c>
      <c r="U265" s="6">
        <v>530000000</v>
      </c>
      <c r="V265" s="6">
        <v>529950000</v>
      </c>
      <c r="X265" s="6">
        <v>10000000</v>
      </c>
      <c r="Y265" s="6">
        <v>10000000</v>
      </c>
      <c r="Z265" s="8">
        <v>45531</v>
      </c>
      <c r="AA265" s="6" t="s">
        <v>2029</v>
      </c>
    </row>
    <row r="266" spans="1:27" x14ac:dyDescent="0.25">
      <c r="A266" s="8">
        <v>45699</v>
      </c>
      <c r="B266" s="6" t="s">
        <v>256</v>
      </c>
      <c r="C266" s="6" t="s">
        <v>1655</v>
      </c>
      <c r="D266" s="6" t="s">
        <v>36</v>
      </c>
      <c r="E266" s="6" t="str">
        <f>VLOOKUP(D266,'shipping inf'!B:D,2,FALSE)</f>
        <v>TP Hồ Chí Minh</v>
      </c>
      <c r="F266" s="6" t="s">
        <v>761</v>
      </c>
      <c r="G266" s="6">
        <v>90</v>
      </c>
      <c r="H266" s="6">
        <v>2510300201</v>
      </c>
      <c r="I266" s="6" t="s">
        <v>1366</v>
      </c>
      <c r="J266" s="6">
        <v>24</v>
      </c>
      <c r="K266" s="6">
        <v>24</v>
      </c>
      <c r="L266" s="6" t="s">
        <v>19</v>
      </c>
      <c r="M266" s="6" t="s">
        <v>37</v>
      </c>
      <c r="N266" s="6" t="str">
        <f>VLOOKUP(Table1[[#This Row],[elevator_traction_machine]],'Product inf'!A:B,2,FALSE)</f>
        <v>SP015</v>
      </c>
      <c r="O266" s="6" t="s">
        <v>3</v>
      </c>
      <c r="P266" s="6" t="s">
        <v>9</v>
      </c>
      <c r="Q266" s="6" t="s">
        <v>70</v>
      </c>
      <c r="R266" s="6" t="s">
        <v>68</v>
      </c>
      <c r="S266" s="6">
        <v>403000000</v>
      </c>
      <c r="U266" s="6">
        <v>403000000</v>
      </c>
      <c r="V266" s="6">
        <v>398813427</v>
      </c>
      <c r="X266" s="6">
        <v>0</v>
      </c>
      <c r="Y266" s="6">
        <v>10000000</v>
      </c>
      <c r="Z266" s="8">
        <v>45702</v>
      </c>
      <c r="AA266" s="6" t="s">
        <v>2155</v>
      </c>
    </row>
    <row r="267" spans="1:27" x14ac:dyDescent="0.25">
      <c r="A267" s="8">
        <v>45422</v>
      </c>
      <c r="B267" s="6" t="s">
        <v>106</v>
      </c>
      <c r="C267" s="6" t="s">
        <v>1656</v>
      </c>
      <c r="D267" s="6" t="s">
        <v>36</v>
      </c>
      <c r="E267" s="6" t="str">
        <f>VLOOKUP(D267,'shipping inf'!B:D,2,FALSE)</f>
        <v>TP Hồ Chí Minh</v>
      </c>
      <c r="F267" s="6" t="s">
        <v>762</v>
      </c>
      <c r="G267" s="6">
        <v>45</v>
      </c>
      <c r="H267" s="6">
        <v>2410300301</v>
      </c>
      <c r="I267" s="6" t="s">
        <v>1366</v>
      </c>
      <c r="J267" s="6">
        <v>24</v>
      </c>
      <c r="K267" s="6">
        <v>12</v>
      </c>
      <c r="L267" s="6" t="s">
        <v>19</v>
      </c>
      <c r="M267" s="6" t="s">
        <v>37</v>
      </c>
      <c r="N267" s="6" t="str">
        <f>VLOOKUP(Table1[[#This Row],[elevator_traction_machine]],'Product inf'!A:B,2,FALSE)</f>
        <v>SP015</v>
      </c>
      <c r="O267" s="6" t="s">
        <v>3</v>
      </c>
      <c r="P267" s="6" t="s">
        <v>9</v>
      </c>
      <c r="Q267" s="6" t="s">
        <v>70</v>
      </c>
      <c r="R267" s="6" t="s">
        <v>68</v>
      </c>
      <c r="S267" s="6">
        <v>440000000</v>
      </c>
      <c r="U267" s="6">
        <v>440000000</v>
      </c>
      <c r="V267" s="6">
        <v>427861000</v>
      </c>
      <c r="X267" s="6">
        <v>20000000</v>
      </c>
      <c r="Y267" s="6">
        <v>8000000</v>
      </c>
      <c r="Z267" s="8">
        <v>45422</v>
      </c>
      <c r="AA267" s="6" t="s">
        <v>1966</v>
      </c>
    </row>
    <row r="268" spans="1:27" x14ac:dyDescent="0.25">
      <c r="A268" s="8">
        <v>45800</v>
      </c>
      <c r="B268" s="6" t="s">
        <v>313</v>
      </c>
      <c r="C268" s="6" t="s">
        <v>1657</v>
      </c>
      <c r="D268" s="6" t="s">
        <v>36</v>
      </c>
      <c r="E268" s="6" t="str">
        <f>VLOOKUP(D268,'shipping inf'!B:D,2,FALSE)</f>
        <v>TP Hồ Chí Minh</v>
      </c>
      <c r="F268" s="6" t="s">
        <v>763</v>
      </c>
      <c r="G268" s="6">
        <v>150</v>
      </c>
      <c r="H268" s="6">
        <v>2510300301</v>
      </c>
      <c r="I268" s="6" t="s">
        <v>1366</v>
      </c>
      <c r="J268" s="6">
        <v>24</v>
      </c>
      <c r="K268" s="6">
        <v>24</v>
      </c>
      <c r="L268" s="6" t="s">
        <v>19</v>
      </c>
      <c r="M268" s="6" t="s">
        <v>37</v>
      </c>
      <c r="N268" s="6" t="str">
        <f>VLOOKUP(Table1[[#This Row],[elevator_traction_machine]],'Product inf'!A:B,2,FALSE)</f>
        <v>SP006</v>
      </c>
      <c r="O268" s="6" t="s">
        <v>3</v>
      </c>
      <c r="P268" s="6" t="s">
        <v>9</v>
      </c>
      <c r="Q268" s="6" t="s">
        <v>67</v>
      </c>
      <c r="R268" s="6" t="s">
        <v>68</v>
      </c>
      <c r="S268" s="6">
        <v>365000000</v>
      </c>
      <c r="U268" s="6">
        <v>365000000</v>
      </c>
      <c r="V268" s="6">
        <v>371600000</v>
      </c>
      <c r="W268" s="6">
        <v>10000000</v>
      </c>
      <c r="X268" s="6">
        <v>20000000</v>
      </c>
      <c r="Y268" s="6">
        <v>10000000</v>
      </c>
      <c r="Z268" s="8">
        <v>45800</v>
      </c>
      <c r="AA268" s="6" t="s">
        <v>2218</v>
      </c>
    </row>
    <row r="269" spans="1:27" x14ac:dyDescent="0.25">
      <c r="A269" s="8">
        <v>45478</v>
      </c>
      <c r="B269" s="6" t="s">
        <v>237</v>
      </c>
      <c r="C269" s="6" t="s">
        <v>1658</v>
      </c>
      <c r="D269" s="6" t="s">
        <v>36</v>
      </c>
      <c r="E269" s="6" t="str">
        <f>VLOOKUP(D269,'shipping inf'!B:D,2,FALSE)</f>
        <v>TP Hồ Chí Minh</v>
      </c>
      <c r="F269" s="6" t="s">
        <v>764</v>
      </c>
      <c r="G269" s="6">
        <v>90</v>
      </c>
      <c r="H269" s="6">
        <v>2410300501</v>
      </c>
      <c r="I269" s="6" t="s">
        <v>1366</v>
      </c>
      <c r="J269" s="6">
        <v>24</v>
      </c>
      <c r="K269" s="6">
        <v>12</v>
      </c>
      <c r="L269" s="6" t="s">
        <v>19</v>
      </c>
      <c r="M269" s="6" t="s">
        <v>37</v>
      </c>
      <c r="N269" s="6" t="str">
        <f>VLOOKUP(Table1[[#This Row],[elevator_traction_machine]],'Product inf'!A:B,2,FALSE)</f>
        <v>SP015</v>
      </c>
      <c r="O269" s="6" t="s">
        <v>3</v>
      </c>
      <c r="P269" s="6" t="s">
        <v>9</v>
      </c>
      <c r="Q269" s="6" t="s">
        <v>70</v>
      </c>
      <c r="R269" s="6" t="s">
        <v>68</v>
      </c>
      <c r="S269" s="6">
        <v>366000000</v>
      </c>
      <c r="U269" s="6">
        <v>366000000</v>
      </c>
      <c r="V269" s="6">
        <v>420349500</v>
      </c>
      <c r="Y269" s="6">
        <v>6000000</v>
      </c>
      <c r="Z269" s="8">
        <v>45635</v>
      </c>
      <c r="AA269" s="6" t="s">
        <v>2008</v>
      </c>
    </row>
    <row r="270" spans="1:27" x14ac:dyDescent="0.25">
      <c r="A270" s="8">
        <v>45843</v>
      </c>
      <c r="B270" s="6" t="s">
        <v>343</v>
      </c>
      <c r="C270" s="6" t="s">
        <v>1659</v>
      </c>
      <c r="D270" s="6" t="s">
        <v>36</v>
      </c>
      <c r="E270" s="6" t="str">
        <f>VLOOKUP(D270,'shipping inf'!B:D,2,FALSE)</f>
        <v>TP Hồ Chí Minh</v>
      </c>
      <c r="F270" s="6" t="s">
        <v>765</v>
      </c>
      <c r="G270" s="6">
        <v>150</v>
      </c>
      <c r="H270" s="6">
        <v>2510300501</v>
      </c>
      <c r="I270" s="6" t="s">
        <v>1366</v>
      </c>
      <c r="J270" s="6">
        <v>36</v>
      </c>
      <c r="K270" s="6">
        <v>36</v>
      </c>
      <c r="L270" s="6" t="s">
        <v>15</v>
      </c>
      <c r="M270" s="6" t="s">
        <v>37</v>
      </c>
      <c r="N270" s="6" t="str">
        <f>VLOOKUP(Table1[[#This Row],[elevator_traction_machine]],'Product inf'!A:B,2,FALSE)</f>
        <v>SP006</v>
      </c>
      <c r="O270" s="6" t="s">
        <v>3</v>
      </c>
      <c r="P270" s="6" t="s">
        <v>9</v>
      </c>
      <c r="Q270" s="6" t="s">
        <v>67</v>
      </c>
      <c r="R270" s="6" t="s">
        <v>68</v>
      </c>
      <c r="S270" s="6">
        <v>403000000</v>
      </c>
      <c r="U270" s="6">
        <v>403000000</v>
      </c>
      <c r="V270" s="6">
        <v>423100000</v>
      </c>
      <c r="Y270" s="6">
        <v>6000000</v>
      </c>
      <c r="Z270" s="8">
        <v>45845</v>
      </c>
      <c r="AA270" s="6" t="s">
        <v>2260</v>
      </c>
    </row>
    <row r="271" spans="1:27" x14ac:dyDescent="0.25">
      <c r="A271" s="8">
        <v>45483</v>
      </c>
      <c r="B271" s="6" t="s">
        <v>146</v>
      </c>
      <c r="C271" s="6" t="s">
        <v>1660</v>
      </c>
      <c r="D271" s="6" t="s">
        <v>36</v>
      </c>
      <c r="E271" s="6" t="str">
        <f>VLOOKUP(D271,'shipping inf'!B:D,2,FALSE)</f>
        <v>TP Hồ Chí Minh</v>
      </c>
      <c r="F271" s="6" t="s">
        <v>766</v>
      </c>
      <c r="G271" s="6">
        <v>90</v>
      </c>
      <c r="H271" s="6">
        <v>2410300601</v>
      </c>
      <c r="I271" s="6" t="s">
        <v>1366</v>
      </c>
      <c r="J271" s="6">
        <v>24</v>
      </c>
      <c r="K271" s="6">
        <v>12</v>
      </c>
      <c r="L271" s="6" t="s">
        <v>19</v>
      </c>
      <c r="M271" s="6" t="s">
        <v>37</v>
      </c>
      <c r="N271" s="6" t="str">
        <f>VLOOKUP(Table1[[#This Row],[elevator_traction_machine]],'Product inf'!A:B,2,FALSE)</f>
        <v>SP015</v>
      </c>
      <c r="O271" s="6" t="s">
        <v>3</v>
      </c>
      <c r="P271" s="6" t="s">
        <v>9</v>
      </c>
      <c r="Q271" s="6" t="s">
        <v>70</v>
      </c>
      <c r="R271" s="6" t="s">
        <v>68</v>
      </c>
      <c r="S271" s="6">
        <v>398000000</v>
      </c>
      <c r="U271" s="6">
        <v>398000000</v>
      </c>
      <c r="V271" s="6">
        <v>388000000</v>
      </c>
      <c r="X271" s="6">
        <v>10000000</v>
      </c>
      <c r="Y271" s="6">
        <v>10000000</v>
      </c>
      <c r="Z271" s="8">
        <v>45484</v>
      </c>
      <c r="AA271" s="6" t="s">
        <v>2008</v>
      </c>
    </row>
    <row r="272" spans="1:27" x14ac:dyDescent="0.25">
      <c r="A272" s="8">
        <v>45843</v>
      </c>
      <c r="B272" s="6" t="s">
        <v>347</v>
      </c>
      <c r="C272" s="6" t="s">
        <v>1661</v>
      </c>
      <c r="D272" s="6" t="s">
        <v>36</v>
      </c>
      <c r="E272" s="6" t="str">
        <f>VLOOKUP(D272,'shipping inf'!B:D,2,FALSE)</f>
        <v>TP Hồ Chí Minh</v>
      </c>
      <c r="F272" s="6" t="s">
        <v>767</v>
      </c>
      <c r="G272" s="6">
        <v>150</v>
      </c>
      <c r="H272" s="6">
        <v>2510300601</v>
      </c>
      <c r="I272" s="6" t="s">
        <v>1366</v>
      </c>
      <c r="J272" s="6">
        <v>36</v>
      </c>
      <c r="K272" s="6">
        <v>36</v>
      </c>
      <c r="L272" s="6" t="s">
        <v>19</v>
      </c>
      <c r="M272" s="6" t="s">
        <v>37</v>
      </c>
      <c r="N272" s="6" t="str">
        <f>VLOOKUP(Table1[[#This Row],[elevator_traction_machine]],'Product inf'!A:B,2,FALSE)</f>
        <v>SP006</v>
      </c>
      <c r="O272" s="6" t="s">
        <v>3</v>
      </c>
      <c r="P272" s="6" t="s">
        <v>9</v>
      </c>
      <c r="Q272" s="6" t="s">
        <v>67</v>
      </c>
      <c r="R272" s="6" t="s">
        <v>68</v>
      </c>
      <c r="S272" s="6">
        <v>403000000</v>
      </c>
      <c r="U272" s="6">
        <v>403000000</v>
      </c>
      <c r="V272" s="6">
        <v>423600000</v>
      </c>
      <c r="Y272" s="6">
        <v>6000000</v>
      </c>
      <c r="Z272" s="8">
        <v>45847</v>
      </c>
      <c r="AA272" s="6" t="s">
        <v>2260</v>
      </c>
    </row>
    <row r="273" spans="1:27" x14ac:dyDescent="0.25">
      <c r="A273" s="8">
        <v>45571</v>
      </c>
      <c r="B273" s="6" t="s">
        <v>197</v>
      </c>
      <c r="C273" s="6" t="s">
        <v>1662</v>
      </c>
      <c r="D273" s="6" t="s">
        <v>48</v>
      </c>
      <c r="E273" s="6" t="str">
        <f>VLOOKUP(D273,'shipping inf'!B:D,2,FALSE)</f>
        <v>Đồng Nai</v>
      </c>
      <c r="F273" s="6" t="s">
        <v>768</v>
      </c>
      <c r="G273" s="6">
        <v>90</v>
      </c>
      <c r="H273" s="6">
        <v>2410300701</v>
      </c>
      <c r="I273" s="6" t="s">
        <v>1366</v>
      </c>
      <c r="J273" s="6">
        <v>24</v>
      </c>
      <c r="K273" s="6">
        <v>24</v>
      </c>
      <c r="L273" s="6" t="s">
        <v>15</v>
      </c>
      <c r="M273" s="6" t="s">
        <v>37</v>
      </c>
      <c r="N273" s="6" t="str">
        <f>VLOOKUP(Table1[[#This Row],[elevator_traction_machine]],'Product inf'!A:B,2,FALSE)</f>
        <v>SP015</v>
      </c>
      <c r="O273" s="6" t="s">
        <v>3</v>
      </c>
      <c r="P273" s="6" t="s">
        <v>9</v>
      </c>
      <c r="Q273" s="6" t="s">
        <v>70</v>
      </c>
      <c r="R273" s="6" t="s">
        <v>68</v>
      </c>
      <c r="S273" s="6">
        <v>350000000</v>
      </c>
      <c r="U273" s="6">
        <v>350000000</v>
      </c>
      <c r="V273" s="6">
        <v>366000000</v>
      </c>
      <c r="Y273" s="6">
        <v>6000000</v>
      </c>
      <c r="Z273" s="8">
        <v>45573</v>
      </c>
      <c r="AA273" s="6" t="s">
        <v>2071</v>
      </c>
    </row>
    <row r="274" spans="1:27" x14ac:dyDescent="0.25">
      <c r="A274" s="8">
        <v>45870</v>
      </c>
      <c r="B274" s="6" t="s">
        <v>380</v>
      </c>
      <c r="C274" s="6" t="s">
        <v>1663</v>
      </c>
      <c r="D274" s="6" t="s">
        <v>65</v>
      </c>
      <c r="E274" s="6" t="str">
        <f>VLOOKUP(D274,'shipping inf'!B:D,2,FALSE)</f>
        <v>Quảng Ngãi</v>
      </c>
      <c r="F274" s="6" t="s">
        <v>769</v>
      </c>
      <c r="G274" s="6">
        <v>90</v>
      </c>
      <c r="H274" s="6">
        <v>2510300701</v>
      </c>
      <c r="I274" s="6" t="s">
        <v>1366</v>
      </c>
      <c r="J274" s="6">
        <v>24</v>
      </c>
      <c r="K274" s="6">
        <v>24</v>
      </c>
      <c r="L274" s="6" t="s">
        <v>19</v>
      </c>
      <c r="M274" s="6" t="s">
        <v>37</v>
      </c>
      <c r="N274" s="6" t="str">
        <f>VLOOKUP(Table1[[#This Row],[elevator_traction_machine]],'Product inf'!A:B,2,FALSE)</f>
        <v>SP006</v>
      </c>
      <c r="O274" s="6" t="s">
        <v>3</v>
      </c>
      <c r="P274" s="6" t="s">
        <v>9</v>
      </c>
      <c r="Q274" s="6" t="s">
        <v>67</v>
      </c>
      <c r="R274" s="6" t="s">
        <v>68</v>
      </c>
      <c r="S274" s="6">
        <v>380000000</v>
      </c>
      <c r="U274" s="6">
        <v>380000000</v>
      </c>
      <c r="V274" s="6">
        <v>389620000</v>
      </c>
      <c r="X274" s="6">
        <v>10000000</v>
      </c>
      <c r="Y274" s="6">
        <v>60000000</v>
      </c>
      <c r="Z274" s="8">
        <v>45898</v>
      </c>
      <c r="AA274" s="6" t="s">
        <v>2281</v>
      </c>
    </row>
    <row r="275" spans="1:27" x14ac:dyDescent="0.25">
      <c r="A275" s="8">
        <v>45877</v>
      </c>
      <c r="B275" s="6" t="s">
        <v>369</v>
      </c>
      <c r="C275" s="6" t="s">
        <v>1664</v>
      </c>
      <c r="D275" s="6" t="s">
        <v>36</v>
      </c>
      <c r="E275" s="6" t="str">
        <f>VLOOKUP(D275,'shipping inf'!B:D,2,FALSE)</f>
        <v>TP Hồ Chí Minh</v>
      </c>
      <c r="F275" s="6" t="s">
        <v>770</v>
      </c>
      <c r="G275" s="6">
        <v>75</v>
      </c>
      <c r="H275" s="6">
        <v>2510300801</v>
      </c>
      <c r="I275" s="6" t="s">
        <v>1366</v>
      </c>
      <c r="J275" s="6">
        <v>24</v>
      </c>
      <c r="K275" s="6">
        <v>12</v>
      </c>
      <c r="L275" s="6" t="s">
        <v>19</v>
      </c>
      <c r="M275" s="6" t="s">
        <v>37</v>
      </c>
      <c r="N275" s="6" t="str">
        <f>VLOOKUP(Table1[[#This Row],[elevator_traction_machine]],'Product inf'!A:B,2,FALSE)</f>
        <v>SP001</v>
      </c>
      <c r="O275" s="6" t="s">
        <v>8</v>
      </c>
      <c r="P275" s="6" t="s">
        <v>9</v>
      </c>
      <c r="Q275" s="6" t="s">
        <v>252</v>
      </c>
      <c r="R275" s="6" t="s">
        <v>68</v>
      </c>
      <c r="S275" s="6">
        <v>445000000</v>
      </c>
      <c r="U275" s="6">
        <v>445000000</v>
      </c>
      <c r="V275" s="6">
        <v>442175000</v>
      </c>
      <c r="X275" s="6">
        <v>10000000</v>
      </c>
      <c r="Y275" s="6">
        <v>10000000</v>
      </c>
      <c r="Z275" s="8">
        <v>45880</v>
      </c>
      <c r="AA275" s="6" t="s">
        <v>2281</v>
      </c>
    </row>
    <row r="276" spans="1:27" x14ac:dyDescent="0.25">
      <c r="A276" s="8">
        <v>45632</v>
      </c>
      <c r="B276" s="6" t="s">
        <v>236</v>
      </c>
      <c r="C276" s="6" t="s">
        <v>1665</v>
      </c>
      <c r="D276" s="6" t="s">
        <v>52</v>
      </c>
      <c r="E276" s="6" t="str">
        <f>VLOOKUP(D276,'shipping inf'!B:D,2,FALSE)</f>
        <v>Đồng Tháp</v>
      </c>
      <c r="F276" s="6" t="s">
        <v>771</v>
      </c>
      <c r="G276" s="6">
        <v>90</v>
      </c>
      <c r="H276" s="6">
        <v>2410300901</v>
      </c>
      <c r="I276" s="6" t="s">
        <v>1366</v>
      </c>
      <c r="J276" s="6">
        <v>24</v>
      </c>
      <c r="K276" s="6">
        <v>24</v>
      </c>
      <c r="L276" s="6" t="s">
        <v>19</v>
      </c>
      <c r="M276" s="6" t="s">
        <v>37</v>
      </c>
      <c r="N276" s="6" t="str">
        <f>VLOOKUP(Table1[[#This Row],[elevator_traction_machine]],'Product inf'!A:B,2,FALSE)</f>
        <v>SP015</v>
      </c>
      <c r="O276" s="6" t="s">
        <v>3</v>
      </c>
      <c r="P276" s="6" t="s">
        <v>9</v>
      </c>
      <c r="Q276" s="6" t="s">
        <v>70</v>
      </c>
      <c r="R276" s="6" t="s">
        <v>68</v>
      </c>
      <c r="S276" s="6">
        <v>720000000</v>
      </c>
      <c r="U276" s="6">
        <v>720000000</v>
      </c>
      <c r="V276" s="6">
        <v>699000000</v>
      </c>
      <c r="X276" s="6">
        <v>50000000</v>
      </c>
      <c r="Y276" s="6">
        <v>8000000</v>
      </c>
      <c r="Z276" s="8">
        <v>45635</v>
      </c>
      <c r="AA276" s="6" t="s">
        <v>2113</v>
      </c>
    </row>
    <row r="277" spans="1:27" x14ac:dyDescent="0.25">
      <c r="A277" s="8">
        <v>45891</v>
      </c>
      <c r="B277" s="6" t="s">
        <v>376</v>
      </c>
      <c r="C277" s="6" t="s">
        <v>1666</v>
      </c>
      <c r="D277" s="6" t="s">
        <v>36</v>
      </c>
      <c r="E277" s="6" t="str">
        <f>VLOOKUP(D277,'shipping inf'!B:D,2,FALSE)</f>
        <v>TP Hồ Chí Minh</v>
      </c>
      <c r="F277" s="6" t="s">
        <v>772</v>
      </c>
      <c r="G277" s="6">
        <v>300</v>
      </c>
      <c r="H277" s="6">
        <v>2510300901</v>
      </c>
      <c r="I277" s="6" t="s">
        <v>1366</v>
      </c>
      <c r="J277" s="6">
        <v>24</v>
      </c>
      <c r="K277" s="6">
        <v>24</v>
      </c>
      <c r="L277" s="6" t="s">
        <v>19</v>
      </c>
      <c r="M277" s="6" t="s">
        <v>37</v>
      </c>
      <c r="N277" s="6" t="str">
        <f>VLOOKUP(Table1[[#This Row],[elevator_traction_machine]],'Product inf'!A:B,2,FALSE)</f>
        <v>SP015</v>
      </c>
      <c r="O277" s="6" t="s">
        <v>3</v>
      </c>
      <c r="P277" s="6" t="s">
        <v>9</v>
      </c>
      <c r="Q277" s="6" t="s">
        <v>70</v>
      </c>
      <c r="R277" s="6" t="s">
        <v>68</v>
      </c>
      <c r="S277" s="6">
        <v>442000000</v>
      </c>
      <c r="U277" s="6">
        <v>442000000</v>
      </c>
      <c r="V277" s="6">
        <v>450000000</v>
      </c>
      <c r="X277" s="6">
        <v>30000000</v>
      </c>
      <c r="Y277" s="6">
        <v>6000000</v>
      </c>
      <c r="Z277" s="8">
        <v>45891</v>
      </c>
      <c r="AA277" s="6" t="s">
        <v>2281</v>
      </c>
    </row>
    <row r="278" spans="1:27" x14ac:dyDescent="0.25">
      <c r="A278" s="8">
        <v>45643</v>
      </c>
      <c r="B278" s="6" t="s">
        <v>241</v>
      </c>
      <c r="C278" s="6" t="s">
        <v>1667</v>
      </c>
      <c r="D278" s="6" t="s">
        <v>48</v>
      </c>
      <c r="E278" s="6" t="str">
        <f>VLOOKUP(D278,'shipping inf'!B:D,2,FALSE)</f>
        <v>Đồng Nai</v>
      </c>
      <c r="F278" s="6" t="s">
        <v>773</v>
      </c>
      <c r="G278" s="6">
        <v>120</v>
      </c>
      <c r="H278" s="6">
        <v>2410301001</v>
      </c>
      <c r="I278" s="6" t="s">
        <v>1366</v>
      </c>
      <c r="J278" s="6">
        <v>24</v>
      </c>
      <c r="K278" s="6">
        <v>24</v>
      </c>
      <c r="L278" s="6" t="s">
        <v>15</v>
      </c>
      <c r="M278" s="6" t="s">
        <v>37</v>
      </c>
      <c r="N278" s="6" t="str">
        <f>VLOOKUP(Table1[[#This Row],[elevator_traction_machine]],'Product inf'!A:B,2,FALSE)</f>
        <v>SP015</v>
      </c>
      <c r="O278" s="6" t="s">
        <v>3</v>
      </c>
      <c r="P278" s="6" t="s">
        <v>9</v>
      </c>
      <c r="Q278" s="6" t="s">
        <v>70</v>
      </c>
      <c r="R278" s="6" t="s">
        <v>68</v>
      </c>
      <c r="S278" s="6">
        <v>400000000</v>
      </c>
      <c r="U278" s="6">
        <v>400000000</v>
      </c>
      <c r="V278" s="6">
        <v>425000000</v>
      </c>
      <c r="Y278" s="6">
        <v>6000000</v>
      </c>
      <c r="Z278" s="8">
        <v>45645</v>
      </c>
      <c r="AA278" s="6" t="s">
        <v>2113</v>
      </c>
    </row>
    <row r="279" spans="1:27" x14ac:dyDescent="0.25">
      <c r="A279" s="8">
        <v>45904</v>
      </c>
      <c r="B279" s="6" t="s">
        <v>384</v>
      </c>
      <c r="C279" s="6" t="s">
        <v>1668</v>
      </c>
      <c r="D279" s="6" t="s">
        <v>36</v>
      </c>
      <c r="E279" s="6" t="str">
        <f>VLOOKUP(D279,'shipping inf'!B:D,2,FALSE)</f>
        <v>TP Hồ Chí Minh</v>
      </c>
      <c r="F279" s="6" t="s">
        <v>774</v>
      </c>
      <c r="G279" s="6">
        <v>75</v>
      </c>
      <c r="H279" s="6">
        <v>2510301001</v>
      </c>
      <c r="I279" s="6" t="s">
        <v>1366</v>
      </c>
      <c r="J279" s="6">
        <v>24</v>
      </c>
      <c r="K279" s="6">
        <v>24</v>
      </c>
      <c r="L279" s="6" t="s">
        <v>19</v>
      </c>
      <c r="M279" s="6" t="s">
        <v>37</v>
      </c>
      <c r="N279" s="6" t="str">
        <f>VLOOKUP(Table1[[#This Row],[elevator_traction_machine]],'Product inf'!A:B,2,FALSE)</f>
        <v>SP001</v>
      </c>
      <c r="O279" s="6" t="s">
        <v>8</v>
      </c>
      <c r="P279" s="6" t="s">
        <v>9</v>
      </c>
      <c r="Q279" s="6" t="s">
        <v>252</v>
      </c>
      <c r="R279" s="6" t="s">
        <v>68</v>
      </c>
      <c r="S279" s="6">
        <v>450000000</v>
      </c>
      <c r="U279" s="6">
        <v>450000000</v>
      </c>
      <c r="V279" s="6">
        <v>407500000</v>
      </c>
      <c r="Y279" s="6">
        <v>8000000</v>
      </c>
      <c r="Z279" s="8">
        <v>45904</v>
      </c>
      <c r="AA279" s="6" t="s">
        <v>2302</v>
      </c>
    </row>
    <row r="280" spans="1:27" x14ac:dyDescent="0.25">
      <c r="A280" s="8">
        <v>45930</v>
      </c>
      <c r="B280" s="6" t="s">
        <v>399</v>
      </c>
      <c r="C280" s="6" t="s">
        <v>1669</v>
      </c>
      <c r="D280" s="6" t="s">
        <v>36</v>
      </c>
      <c r="E280" s="6" t="str">
        <f>VLOOKUP(D280,'shipping inf'!B:D,2,FALSE)</f>
        <v>TP Hồ Chí Minh</v>
      </c>
      <c r="F280" s="6" t="s">
        <v>775</v>
      </c>
      <c r="G280" s="6">
        <v>90</v>
      </c>
      <c r="H280" s="6">
        <v>2510301101</v>
      </c>
      <c r="I280" s="6" t="s">
        <v>1366</v>
      </c>
      <c r="J280" s="6">
        <v>24</v>
      </c>
      <c r="K280" s="6">
        <v>24</v>
      </c>
      <c r="L280" s="6" t="s">
        <v>19</v>
      </c>
      <c r="M280" s="6" t="s">
        <v>37</v>
      </c>
      <c r="N280" s="6" t="str">
        <f>VLOOKUP(Table1[[#This Row],[elevator_traction_machine]],'Product inf'!A:B,2,FALSE)</f>
        <v>SP006</v>
      </c>
      <c r="O280" s="6" t="s">
        <v>3</v>
      </c>
      <c r="P280" s="6" t="s">
        <v>9</v>
      </c>
      <c r="Q280" s="6" t="s">
        <v>67</v>
      </c>
      <c r="R280" s="6" t="s">
        <v>68</v>
      </c>
      <c r="S280" s="6">
        <v>360000000</v>
      </c>
      <c r="U280" s="6">
        <v>360000000</v>
      </c>
      <c r="V280" s="6">
        <v>369000000</v>
      </c>
      <c r="X280" s="6">
        <v>5000000</v>
      </c>
      <c r="Y280" s="6">
        <v>6000000</v>
      </c>
      <c r="Z280" s="8">
        <v>45931</v>
      </c>
      <c r="AA280" s="6" t="s">
        <v>2302</v>
      </c>
    </row>
    <row r="281" spans="1:27" x14ac:dyDescent="0.25">
      <c r="A281" s="8">
        <v>45962</v>
      </c>
      <c r="B281" s="6" t="s">
        <v>432</v>
      </c>
      <c r="C281" s="6" t="s">
        <v>1670</v>
      </c>
      <c r="D281" s="6" t="s">
        <v>36</v>
      </c>
      <c r="E281" s="6" t="str">
        <f>VLOOKUP(D281,'shipping inf'!B:D,2,FALSE)</f>
        <v>TP Hồ Chí Minh</v>
      </c>
      <c r="F281" s="6" t="s">
        <v>776</v>
      </c>
      <c r="G281" s="6">
        <v>180</v>
      </c>
      <c r="H281" s="6">
        <v>2510301201</v>
      </c>
      <c r="I281" s="6" t="s">
        <v>1366</v>
      </c>
      <c r="J281" s="6">
        <v>24</v>
      </c>
      <c r="K281" s="6">
        <v>24</v>
      </c>
      <c r="L281" s="6" t="s">
        <v>19</v>
      </c>
      <c r="M281" s="6" t="s">
        <v>37</v>
      </c>
      <c r="N281" s="6" t="str">
        <f>VLOOKUP(Table1[[#This Row],[elevator_traction_machine]],'Product inf'!A:B,2,FALSE)</f>
        <v>SP006</v>
      </c>
      <c r="O281" s="6" t="s">
        <v>3</v>
      </c>
      <c r="P281" s="6" t="s">
        <v>9</v>
      </c>
      <c r="Q281" s="6" t="s">
        <v>67</v>
      </c>
      <c r="R281" s="6" t="s">
        <v>68</v>
      </c>
      <c r="S281" s="6">
        <v>370000000</v>
      </c>
      <c r="U281" s="6">
        <v>370000000</v>
      </c>
      <c r="V281" s="6">
        <v>368000000</v>
      </c>
      <c r="X281" s="6">
        <v>20000000</v>
      </c>
      <c r="Y281" s="6">
        <v>10000000</v>
      </c>
      <c r="Z281" s="8">
        <v>45966</v>
      </c>
      <c r="AA281" s="6" t="s">
        <v>2344</v>
      </c>
    </row>
    <row r="282" spans="1:27" x14ac:dyDescent="0.25">
      <c r="A282" s="8">
        <v>45968</v>
      </c>
      <c r="B282" s="6" t="s">
        <v>439</v>
      </c>
      <c r="C282" s="6" t="s">
        <v>1671</v>
      </c>
      <c r="D282" s="6" t="s">
        <v>54</v>
      </c>
      <c r="E282" s="6" t="str">
        <f>VLOOKUP(D282,'shipping inf'!B:D,2,FALSE)</f>
        <v>Khánh Hòa</v>
      </c>
      <c r="F282" s="6" t="s">
        <v>777</v>
      </c>
      <c r="G282" s="6">
        <v>240</v>
      </c>
      <c r="H282" s="6">
        <v>2510301401</v>
      </c>
      <c r="I282" s="6" t="s">
        <v>1366</v>
      </c>
      <c r="J282" s="6">
        <v>24</v>
      </c>
      <c r="K282" s="6">
        <v>24</v>
      </c>
      <c r="L282" s="6" t="s">
        <v>19</v>
      </c>
      <c r="M282" s="6" t="s">
        <v>37</v>
      </c>
      <c r="N282" s="6" t="str">
        <f>VLOOKUP(Table1[[#This Row],[elevator_traction_machine]],'Product inf'!A:B,2,FALSE)</f>
        <v>SP006</v>
      </c>
      <c r="O282" s="6" t="s">
        <v>3</v>
      </c>
      <c r="P282" s="6" t="s">
        <v>9</v>
      </c>
      <c r="Q282" s="6" t="s">
        <v>67</v>
      </c>
      <c r="R282" s="6" t="s">
        <v>68</v>
      </c>
      <c r="S282" s="6">
        <v>372000000</v>
      </c>
      <c r="U282" s="6">
        <v>372000000</v>
      </c>
      <c r="V282" s="6">
        <v>368260000</v>
      </c>
      <c r="X282" s="6">
        <v>20000000</v>
      </c>
      <c r="Y282" s="6">
        <v>10000000</v>
      </c>
      <c r="Z282" s="8">
        <v>45968</v>
      </c>
      <c r="AA282" s="6" t="s">
        <v>2344</v>
      </c>
    </row>
    <row r="283" spans="1:27" x14ac:dyDescent="0.25">
      <c r="A283" s="8">
        <v>45967</v>
      </c>
      <c r="B283" s="6" t="s">
        <v>437</v>
      </c>
      <c r="C283" s="6" t="s">
        <v>1672</v>
      </c>
      <c r="D283" s="6" t="s">
        <v>36</v>
      </c>
      <c r="E283" s="6" t="str">
        <f>VLOOKUP(D283,'shipping inf'!B:D,2,FALSE)</f>
        <v>TP Hồ Chí Minh</v>
      </c>
      <c r="F283" s="6" t="s">
        <v>778</v>
      </c>
      <c r="G283" s="6">
        <v>90</v>
      </c>
      <c r="H283" s="6">
        <v>2510301501</v>
      </c>
      <c r="I283" s="6" t="s">
        <v>1366</v>
      </c>
      <c r="J283" s="6">
        <v>24</v>
      </c>
      <c r="K283" s="6">
        <v>24</v>
      </c>
      <c r="L283" s="6" t="s">
        <v>19</v>
      </c>
      <c r="M283" s="6" t="s">
        <v>37</v>
      </c>
      <c r="N283" s="6" t="str">
        <f>VLOOKUP(Table1[[#This Row],[elevator_traction_machine]],'Product inf'!A:B,2,FALSE)</f>
        <v>SP006</v>
      </c>
      <c r="O283" s="6" t="s">
        <v>3</v>
      </c>
      <c r="P283" s="6" t="s">
        <v>9</v>
      </c>
      <c r="Q283" s="6" t="s">
        <v>67</v>
      </c>
      <c r="R283" s="6" t="s">
        <v>68</v>
      </c>
      <c r="S283" s="6">
        <v>380000000</v>
      </c>
      <c r="U283" s="6">
        <v>380000000</v>
      </c>
      <c r="V283" s="6">
        <v>399000000</v>
      </c>
      <c r="X283" s="6">
        <v>10000000</v>
      </c>
      <c r="Y283" s="6">
        <v>6000000</v>
      </c>
      <c r="Z283" s="8">
        <v>45967</v>
      </c>
      <c r="AA283" s="6" t="s">
        <v>2344</v>
      </c>
    </row>
    <row r="284" spans="1:27" x14ac:dyDescent="0.25">
      <c r="A284" s="8">
        <v>45967</v>
      </c>
      <c r="B284" s="6" t="s">
        <v>438</v>
      </c>
      <c r="C284" s="6" t="s">
        <v>1673</v>
      </c>
      <c r="D284" s="6" t="s">
        <v>36</v>
      </c>
      <c r="E284" s="6" t="str">
        <f>VLOOKUP(D284,'shipping inf'!B:D,2,FALSE)</f>
        <v>TP Hồ Chí Minh</v>
      </c>
      <c r="F284" s="6" t="s">
        <v>779</v>
      </c>
      <c r="G284" s="6">
        <v>120</v>
      </c>
      <c r="H284" s="6">
        <v>2510301601</v>
      </c>
      <c r="I284" s="6" t="s">
        <v>1366</v>
      </c>
      <c r="J284" s="6">
        <v>24</v>
      </c>
      <c r="K284" s="6">
        <v>24</v>
      </c>
      <c r="L284" s="6" t="s">
        <v>19</v>
      </c>
      <c r="M284" s="6" t="s">
        <v>37</v>
      </c>
      <c r="N284" s="6" t="str">
        <f>VLOOKUP(Table1[[#This Row],[elevator_traction_machine]],'Product inf'!A:B,2,FALSE)</f>
        <v>SP006</v>
      </c>
      <c r="O284" s="6" t="s">
        <v>3</v>
      </c>
      <c r="P284" s="6" t="s">
        <v>9</v>
      </c>
      <c r="Q284" s="6" t="s">
        <v>67</v>
      </c>
      <c r="R284" s="6" t="s">
        <v>68</v>
      </c>
      <c r="S284" s="6">
        <v>452000000</v>
      </c>
      <c r="U284" s="6">
        <v>452000000</v>
      </c>
      <c r="V284" s="6">
        <v>456000000</v>
      </c>
      <c r="Y284" s="6">
        <v>6000000</v>
      </c>
      <c r="Z284" s="8">
        <v>45967</v>
      </c>
      <c r="AA284" s="6" t="s">
        <v>2344</v>
      </c>
    </row>
    <row r="285" spans="1:27" x14ac:dyDescent="0.25">
      <c r="A285" s="8">
        <v>45977</v>
      </c>
      <c r="B285" s="6" t="s">
        <v>460</v>
      </c>
      <c r="C285" s="6" t="s">
        <v>1674</v>
      </c>
      <c r="D285" s="6" t="s">
        <v>36</v>
      </c>
      <c r="E285" s="6" t="str">
        <f>VLOOKUP(D285,'shipping inf'!B:D,2,FALSE)</f>
        <v>TP Hồ Chí Minh</v>
      </c>
      <c r="F285" s="6" t="s">
        <v>780</v>
      </c>
      <c r="G285" s="6">
        <v>270</v>
      </c>
      <c r="H285" s="6">
        <v>2510301701</v>
      </c>
      <c r="I285" s="6" t="s">
        <v>1366</v>
      </c>
      <c r="J285" s="6">
        <v>24</v>
      </c>
      <c r="K285" s="6">
        <v>24</v>
      </c>
      <c r="L285" s="6" t="s">
        <v>19</v>
      </c>
      <c r="M285" s="6" t="s">
        <v>37</v>
      </c>
      <c r="N285" s="6" t="str">
        <f>VLOOKUP(Table1[[#This Row],[elevator_traction_machine]],'Product inf'!A:B,2,FALSE)</f>
        <v>SP015</v>
      </c>
      <c r="O285" s="6" t="s">
        <v>3</v>
      </c>
      <c r="P285" s="6" t="s">
        <v>9</v>
      </c>
      <c r="Q285" s="6" t="s">
        <v>70</v>
      </c>
      <c r="R285" s="6" t="s">
        <v>68</v>
      </c>
      <c r="S285" s="6">
        <v>375000000</v>
      </c>
      <c r="U285" s="6">
        <v>375000000</v>
      </c>
      <c r="V285" s="6">
        <v>375800000</v>
      </c>
      <c r="X285" s="6">
        <v>19200000</v>
      </c>
      <c r="Y285" s="6">
        <v>10000000</v>
      </c>
      <c r="Z285" s="8">
        <v>46010</v>
      </c>
      <c r="AA285" s="6" t="s">
        <v>2344</v>
      </c>
    </row>
    <row r="286" spans="1:27" x14ac:dyDescent="0.25">
      <c r="A286" s="8">
        <v>45978</v>
      </c>
      <c r="B286" s="6" t="s">
        <v>442</v>
      </c>
      <c r="C286" s="6" t="s">
        <v>1675</v>
      </c>
      <c r="D286" s="6" t="s">
        <v>36</v>
      </c>
      <c r="E286" s="6" t="str">
        <f>VLOOKUP(D286,'shipping inf'!B:D,2,FALSE)</f>
        <v>TP Hồ Chí Minh</v>
      </c>
      <c r="F286" s="6" t="s">
        <v>781</v>
      </c>
      <c r="G286" s="6">
        <v>75</v>
      </c>
      <c r="H286" s="6">
        <v>2510301801</v>
      </c>
      <c r="I286" s="6" t="s">
        <v>1366</v>
      </c>
      <c r="J286" s="6">
        <v>24</v>
      </c>
      <c r="K286" s="6">
        <v>24</v>
      </c>
      <c r="L286" s="6" t="s">
        <v>19</v>
      </c>
      <c r="M286" s="6" t="s">
        <v>37</v>
      </c>
      <c r="N286" s="6" t="str">
        <f>VLOOKUP(Table1[[#This Row],[elevator_traction_machine]],'Product inf'!A:B,2,FALSE)</f>
        <v>SP001</v>
      </c>
      <c r="O286" s="6" t="s">
        <v>8</v>
      </c>
      <c r="P286" s="6" t="s">
        <v>9</v>
      </c>
      <c r="Q286" s="6" t="s">
        <v>252</v>
      </c>
      <c r="R286" s="6" t="s">
        <v>443</v>
      </c>
      <c r="S286" s="6">
        <v>410000000</v>
      </c>
      <c r="U286" s="6">
        <v>410000000</v>
      </c>
      <c r="V286" s="6">
        <v>429000000</v>
      </c>
      <c r="Y286" s="6">
        <v>6000000</v>
      </c>
      <c r="Z286" s="8">
        <v>45978</v>
      </c>
      <c r="AA286" s="6" t="s">
        <v>2344</v>
      </c>
    </row>
    <row r="287" spans="1:27" x14ac:dyDescent="0.25">
      <c r="A287" s="8">
        <v>46016</v>
      </c>
      <c r="B287" s="6" t="s">
        <v>464</v>
      </c>
      <c r="C287" s="6" t="s">
        <v>1676</v>
      </c>
      <c r="D287" s="6" t="s">
        <v>36</v>
      </c>
      <c r="E287" s="6" t="str">
        <f>VLOOKUP(D287,'shipping inf'!B:D,2,FALSE)</f>
        <v>TP Hồ Chí Minh</v>
      </c>
      <c r="F287" s="6" t="s">
        <v>782</v>
      </c>
      <c r="G287" s="6">
        <v>180</v>
      </c>
      <c r="H287" s="6">
        <v>2510301901</v>
      </c>
      <c r="I287" s="6" t="s">
        <v>1366</v>
      </c>
      <c r="J287" s="6">
        <v>24</v>
      </c>
      <c r="K287" s="6">
        <v>24</v>
      </c>
      <c r="L287" s="6" t="s">
        <v>19</v>
      </c>
      <c r="M287" s="6" t="s">
        <v>37</v>
      </c>
      <c r="N287" s="6" t="str">
        <f>VLOOKUP(Table1[[#This Row],[elevator_traction_machine]],'Product inf'!A:B,2,FALSE)</f>
        <v>SP015</v>
      </c>
      <c r="O287" s="6" t="s">
        <v>3</v>
      </c>
      <c r="P287" s="6" t="s">
        <v>9</v>
      </c>
      <c r="Q287" s="6" t="s">
        <v>70</v>
      </c>
      <c r="R287" s="6" t="s">
        <v>68</v>
      </c>
      <c r="S287" s="6">
        <v>375000000</v>
      </c>
      <c r="U287" s="6">
        <v>375000000</v>
      </c>
      <c r="V287" s="6">
        <v>373500000</v>
      </c>
      <c r="X287" s="6">
        <v>20000000</v>
      </c>
      <c r="Y287" s="6">
        <v>10000000</v>
      </c>
      <c r="Z287" s="8">
        <v>46017</v>
      </c>
      <c r="AA287" s="6" t="s">
        <v>2365</v>
      </c>
    </row>
    <row r="288" spans="1:27" x14ac:dyDescent="0.25">
      <c r="A288" s="8">
        <v>46016</v>
      </c>
      <c r="B288" s="6" t="s">
        <v>463</v>
      </c>
      <c r="C288" s="6" t="s">
        <v>1677</v>
      </c>
      <c r="D288" s="6" t="s">
        <v>36</v>
      </c>
      <c r="E288" s="6" t="str">
        <f>VLOOKUP(D288,'shipping inf'!B:D,2,FALSE)</f>
        <v>TP Hồ Chí Minh</v>
      </c>
      <c r="F288" s="6" t="s">
        <v>783</v>
      </c>
      <c r="G288" s="6">
        <v>210</v>
      </c>
      <c r="H288" s="6">
        <v>2510302001</v>
      </c>
      <c r="I288" s="6" t="s">
        <v>1366</v>
      </c>
      <c r="J288" s="6">
        <v>24</v>
      </c>
      <c r="K288" s="6">
        <v>24</v>
      </c>
      <c r="L288" s="6" t="s">
        <v>19</v>
      </c>
      <c r="M288" s="6" t="s">
        <v>37</v>
      </c>
      <c r="N288" s="6" t="str">
        <f>VLOOKUP(Table1[[#This Row],[elevator_traction_machine]],'Product inf'!A:B,2,FALSE)</f>
        <v>SP015</v>
      </c>
      <c r="O288" s="6" t="s">
        <v>3</v>
      </c>
      <c r="P288" s="6" t="s">
        <v>9</v>
      </c>
      <c r="Q288" s="6" t="s">
        <v>70</v>
      </c>
      <c r="R288" s="6" t="s">
        <v>68</v>
      </c>
      <c r="S288" s="6">
        <v>380000000</v>
      </c>
      <c r="U288" s="6">
        <v>380000000</v>
      </c>
      <c r="V288" s="6">
        <v>379600000</v>
      </c>
      <c r="X288" s="6">
        <v>20000000</v>
      </c>
      <c r="Y288" s="6">
        <v>10000000</v>
      </c>
      <c r="Z288" s="8">
        <v>46017</v>
      </c>
      <c r="AA288" s="6" t="s">
        <v>2365</v>
      </c>
    </row>
    <row r="289" spans="1:27" x14ac:dyDescent="0.25">
      <c r="A289" s="8">
        <v>46022</v>
      </c>
      <c r="B289" s="6" t="s">
        <v>472</v>
      </c>
      <c r="C289" s="6" t="s">
        <v>1678</v>
      </c>
      <c r="D289" s="6" t="s">
        <v>36</v>
      </c>
      <c r="E289" s="6" t="str">
        <f>VLOOKUP(D289,'shipping inf'!B:D,2,FALSE)</f>
        <v>TP Hồ Chí Minh</v>
      </c>
      <c r="F289" s="6" t="s">
        <v>784</v>
      </c>
      <c r="G289" s="6">
        <v>120</v>
      </c>
      <c r="H289" s="6">
        <v>2510302101</v>
      </c>
      <c r="I289" s="6" t="s">
        <v>1366</v>
      </c>
      <c r="J289" s="6">
        <v>24</v>
      </c>
      <c r="K289" s="6">
        <v>24</v>
      </c>
      <c r="L289" s="6" t="s">
        <v>19</v>
      </c>
      <c r="M289" s="6" t="s">
        <v>37</v>
      </c>
      <c r="N289" s="6" t="str">
        <f>VLOOKUP(Table1[[#This Row],[elevator_traction_machine]],'Product inf'!A:B,2,FALSE)</f>
        <v>SP015</v>
      </c>
      <c r="O289" s="6" t="s">
        <v>3</v>
      </c>
      <c r="P289" s="6" t="s">
        <v>9</v>
      </c>
      <c r="Q289" s="6" t="s">
        <v>70</v>
      </c>
      <c r="R289" s="6" t="s">
        <v>68</v>
      </c>
      <c r="S289" s="6">
        <v>462000000</v>
      </c>
      <c r="U289" s="6">
        <v>462000000</v>
      </c>
      <c r="V289" s="6">
        <v>462000000</v>
      </c>
      <c r="Y289" s="6">
        <v>5000000</v>
      </c>
      <c r="Z289" s="8">
        <v>46030</v>
      </c>
      <c r="AA289" s="6" t="s">
        <v>2365</v>
      </c>
    </row>
    <row r="290" spans="1:27" x14ac:dyDescent="0.25">
      <c r="A290" s="8">
        <v>45512</v>
      </c>
      <c r="B290" s="6" t="s">
        <v>168</v>
      </c>
      <c r="C290" s="6" t="s">
        <v>1679</v>
      </c>
      <c r="D290" s="6" t="s">
        <v>36</v>
      </c>
      <c r="E290" s="6" t="str">
        <f>VLOOKUP(D290,'shipping inf'!B:D,2,FALSE)</f>
        <v>TP Hồ Chí Minh</v>
      </c>
      <c r="F290" s="6" t="s">
        <v>785</v>
      </c>
      <c r="G290" s="6">
        <v>90</v>
      </c>
      <c r="H290" s="6">
        <v>2410400101</v>
      </c>
      <c r="I290" s="6" t="s">
        <v>1369</v>
      </c>
      <c r="J290" s="6">
        <v>24</v>
      </c>
      <c r="K290" s="6">
        <v>24</v>
      </c>
      <c r="L290" s="6" t="s">
        <v>19</v>
      </c>
      <c r="M290" s="6" t="s">
        <v>37</v>
      </c>
      <c r="N290" s="6" t="str">
        <f>VLOOKUP(Table1[[#This Row],[elevator_traction_machine]],'Product inf'!A:B,2,FALSE)</f>
        <v>SP015</v>
      </c>
      <c r="O290" s="6" t="s">
        <v>8</v>
      </c>
      <c r="P290" s="6" t="s">
        <v>9</v>
      </c>
      <c r="Q290" s="6" t="s">
        <v>70</v>
      </c>
      <c r="R290" s="6" t="s">
        <v>68</v>
      </c>
      <c r="S290" s="6">
        <v>644000000</v>
      </c>
      <c r="U290" s="6">
        <v>644000000</v>
      </c>
      <c r="V290" s="6">
        <v>648200000</v>
      </c>
      <c r="X290" s="6">
        <v>10000000</v>
      </c>
      <c r="Y290" s="6">
        <v>9000000</v>
      </c>
      <c r="Z290" s="8">
        <v>45513</v>
      </c>
      <c r="AA290" s="6" t="s">
        <v>2032</v>
      </c>
    </row>
    <row r="291" spans="1:27" x14ac:dyDescent="0.25">
      <c r="A291" s="8">
        <v>45952</v>
      </c>
      <c r="B291" s="6" t="s">
        <v>426</v>
      </c>
      <c r="C291" s="6" t="s">
        <v>1680</v>
      </c>
      <c r="D291" s="6" t="s">
        <v>36</v>
      </c>
      <c r="E291" s="6" t="str">
        <f>VLOOKUP(D291,'shipping inf'!B:D,2,FALSE)</f>
        <v>TP Hồ Chí Minh</v>
      </c>
      <c r="F291" s="6" t="s">
        <v>786</v>
      </c>
      <c r="G291" s="6">
        <v>75</v>
      </c>
      <c r="H291" s="6">
        <v>2510400101</v>
      </c>
      <c r="I291" s="6" t="s">
        <v>1373</v>
      </c>
      <c r="J291" s="6">
        <v>36</v>
      </c>
      <c r="K291" s="6">
        <v>36</v>
      </c>
      <c r="L291" s="6" t="s">
        <v>12</v>
      </c>
      <c r="M291" s="6" t="s">
        <v>37</v>
      </c>
      <c r="N291" s="6" t="str">
        <f>VLOOKUP(Table1[[#This Row],[elevator_traction_machine]],'Product inf'!A:B,2,FALSE)</f>
        <v>SP006</v>
      </c>
      <c r="O291" s="6" t="s">
        <v>3</v>
      </c>
      <c r="P291" s="6" t="s">
        <v>9</v>
      </c>
      <c r="Q291" s="6" t="s">
        <v>67</v>
      </c>
      <c r="R291" s="6" t="s">
        <v>267</v>
      </c>
      <c r="S291" s="6">
        <v>316000000</v>
      </c>
      <c r="U291" s="6">
        <v>316000000</v>
      </c>
      <c r="V291" s="6">
        <v>316000000</v>
      </c>
      <c r="Y291" s="6">
        <v>6000000</v>
      </c>
      <c r="Z291" s="8">
        <v>45954</v>
      </c>
      <c r="AA291" s="6" t="s">
        <v>2330</v>
      </c>
    </row>
    <row r="292" spans="1:27" x14ac:dyDescent="0.25">
      <c r="A292" s="8">
        <v>46088</v>
      </c>
      <c r="B292" s="6" t="s">
        <v>495</v>
      </c>
      <c r="C292" s="6" t="s">
        <v>1681</v>
      </c>
      <c r="D292" s="6" t="s">
        <v>36</v>
      </c>
      <c r="E292" s="6" t="str">
        <f>VLOOKUP(D292,'shipping inf'!B:D,2,FALSE)</f>
        <v>TP Hồ Chí Minh</v>
      </c>
      <c r="F292" s="6" t="s">
        <v>787</v>
      </c>
      <c r="G292" s="6">
        <v>120</v>
      </c>
      <c r="H292" s="6">
        <v>2610400101</v>
      </c>
      <c r="I292" s="6" t="s">
        <v>1373</v>
      </c>
      <c r="J292" s="6">
        <v>24</v>
      </c>
      <c r="K292" s="6">
        <v>24</v>
      </c>
      <c r="L292" s="6" t="s">
        <v>15</v>
      </c>
      <c r="M292" s="6" t="s">
        <v>37</v>
      </c>
      <c r="N292" s="6" t="str">
        <f>VLOOKUP(Table1[[#This Row],[elevator_traction_machine]],'Product inf'!A:B,2,FALSE)</f>
        <v>SP006</v>
      </c>
      <c r="O292" s="6" t="s">
        <v>3</v>
      </c>
      <c r="P292" s="6" t="s">
        <v>9</v>
      </c>
      <c r="Q292" s="6" t="s">
        <v>67</v>
      </c>
      <c r="R292" s="6" t="s">
        <v>68</v>
      </c>
      <c r="S292" s="6">
        <v>440000000</v>
      </c>
      <c r="U292" s="6">
        <v>440000000</v>
      </c>
      <c r="V292" s="6">
        <v>437933333</v>
      </c>
      <c r="X292" s="6">
        <v>10000000</v>
      </c>
      <c r="Y292" s="6">
        <v>10000000</v>
      </c>
      <c r="Z292" s="8">
        <v>46090</v>
      </c>
      <c r="AA292" s="6" t="s">
        <v>2435</v>
      </c>
    </row>
    <row r="293" spans="1:27" x14ac:dyDescent="0.25">
      <c r="A293" s="8">
        <v>45582</v>
      </c>
      <c r="B293" s="6" t="s">
        <v>216</v>
      </c>
      <c r="C293" s="6" t="s">
        <v>1682</v>
      </c>
      <c r="D293" s="6" t="s">
        <v>36</v>
      </c>
      <c r="E293" s="6" t="str">
        <f>VLOOKUP(D293,'shipping inf'!B:D,2,FALSE)</f>
        <v>TP Hồ Chí Minh</v>
      </c>
      <c r="F293" s="6" t="s">
        <v>788</v>
      </c>
      <c r="G293" s="6">
        <v>120</v>
      </c>
      <c r="H293" s="6">
        <v>2410400201</v>
      </c>
      <c r="I293" s="6" t="s">
        <v>1369</v>
      </c>
      <c r="J293" s="6">
        <v>24</v>
      </c>
      <c r="K293" s="6">
        <v>24</v>
      </c>
      <c r="L293" s="6" t="s">
        <v>15</v>
      </c>
      <c r="M293" s="6" t="s">
        <v>37</v>
      </c>
      <c r="N293" s="6" t="str">
        <f>VLOOKUP(Table1[[#This Row],[elevator_traction_machine]],'Product inf'!A:B,2,FALSE)</f>
        <v>SP015</v>
      </c>
      <c r="O293" s="6" t="s">
        <v>8</v>
      </c>
      <c r="P293" s="6" t="s">
        <v>9</v>
      </c>
      <c r="Q293" s="6" t="s">
        <v>70</v>
      </c>
      <c r="R293" s="6" t="s">
        <v>68</v>
      </c>
      <c r="S293" s="6">
        <v>474000000</v>
      </c>
      <c r="U293" s="6">
        <v>474000000</v>
      </c>
      <c r="V293" s="6">
        <v>518170000</v>
      </c>
      <c r="Y293" s="6">
        <v>9000000</v>
      </c>
      <c r="Z293" s="8">
        <v>45589</v>
      </c>
      <c r="AA293" s="6" t="s">
        <v>2074</v>
      </c>
    </row>
    <row r="294" spans="1:27" x14ac:dyDescent="0.25">
      <c r="A294" s="8">
        <v>45947</v>
      </c>
      <c r="B294" s="6" t="s">
        <v>420</v>
      </c>
      <c r="C294" s="6" t="s">
        <v>1683</v>
      </c>
      <c r="D294" s="6" t="s">
        <v>48</v>
      </c>
      <c r="E294" s="6" t="str">
        <f>VLOOKUP(D294,'shipping inf'!B:D,2,FALSE)</f>
        <v>Đồng Nai</v>
      </c>
      <c r="F294" s="6" t="s">
        <v>789</v>
      </c>
      <c r="G294" s="6">
        <v>150</v>
      </c>
      <c r="H294" s="6">
        <v>2510400201</v>
      </c>
      <c r="I294" s="6" t="s">
        <v>1373</v>
      </c>
      <c r="J294" s="6">
        <v>24</v>
      </c>
      <c r="K294" s="6">
        <v>12</v>
      </c>
      <c r="L294" s="6" t="s">
        <v>15</v>
      </c>
      <c r="M294" s="6" t="s">
        <v>37</v>
      </c>
      <c r="N294" s="6" t="str">
        <f>VLOOKUP(Table1[[#This Row],[elevator_traction_machine]],'Product inf'!A:B,2,FALSE)</f>
        <v>SP006</v>
      </c>
      <c r="O294" s="6" t="s">
        <v>3</v>
      </c>
      <c r="P294" s="6" t="s">
        <v>9</v>
      </c>
      <c r="Q294" s="6" t="s">
        <v>67</v>
      </c>
      <c r="R294" s="6" t="s">
        <v>68</v>
      </c>
      <c r="S294" s="6">
        <v>868500000</v>
      </c>
      <c r="U294" s="6">
        <v>868500000</v>
      </c>
      <c r="V294" s="6">
        <v>868500000</v>
      </c>
      <c r="X294" s="6">
        <v>10000000</v>
      </c>
      <c r="Y294" s="6">
        <v>12000000</v>
      </c>
      <c r="Z294" s="8">
        <v>45947</v>
      </c>
      <c r="AA294" s="6" t="s">
        <v>2330</v>
      </c>
    </row>
    <row r="295" spans="1:27" x14ac:dyDescent="0.25">
      <c r="A295" s="8">
        <v>45947</v>
      </c>
      <c r="B295" s="6" t="s">
        <v>420</v>
      </c>
      <c r="C295" s="6" t="s">
        <v>1684</v>
      </c>
      <c r="D295" s="6" t="s">
        <v>48</v>
      </c>
      <c r="E295" s="6" t="str">
        <f>VLOOKUP(D295,'shipping inf'!B:D,2,FALSE)</f>
        <v>Đồng Nai</v>
      </c>
      <c r="F295" s="6" t="s">
        <v>789</v>
      </c>
      <c r="G295" s="6">
        <v>150</v>
      </c>
      <c r="H295" s="6">
        <v>2510400202</v>
      </c>
      <c r="I295" s="6" t="s">
        <v>1373</v>
      </c>
      <c r="J295" s="6">
        <v>24</v>
      </c>
      <c r="K295" s="6">
        <v>12</v>
      </c>
      <c r="L295" s="6" t="s">
        <v>15</v>
      </c>
      <c r="M295" s="6" t="s">
        <v>37</v>
      </c>
      <c r="N295" s="6" t="str">
        <f>VLOOKUP(Table1[[#This Row],[elevator_traction_machine]],'Product inf'!A:B,2,FALSE)</f>
        <v>SP006</v>
      </c>
      <c r="O295" s="6" t="s">
        <v>3</v>
      </c>
      <c r="P295" s="6" t="s">
        <v>9</v>
      </c>
      <c r="Q295" s="6" t="s">
        <v>67</v>
      </c>
      <c r="R295" s="6" t="s">
        <v>68</v>
      </c>
      <c r="U295" s="6">
        <v>0</v>
      </c>
      <c r="Z295" s="8">
        <v>45947</v>
      </c>
      <c r="AA295" s="6" t="s">
        <v>2330</v>
      </c>
    </row>
    <row r="296" spans="1:27" x14ac:dyDescent="0.25">
      <c r="A296" s="8">
        <v>45586</v>
      </c>
      <c r="B296" s="6" t="s">
        <v>213</v>
      </c>
      <c r="C296" s="6" t="s">
        <v>1685</v>
      </c>
      <c r="D296" s="6" t="s">
        <v>36</v>
      </c>
      <c r="E296" s="6" t="str">
        <f>VLOOKUP(D296,'shipping inf'!B:D,2,FALSE)</f>
        <v>TP Hồ Chí Minh</v>
      </c>
      <c r="F296" s="6" t="s">
        <v>790</v>
      </c>
      <c r="G296" s="6">
        <v>60</v>
      </c>
      <c r="H296" s="6">
        <v>2410400501</v>
      </c>
      <c r="I296" s="6" t="s">
        <v>1369</v>
      </c>
      <c r="J296" s="6">
        <v>24</v>
      </c>
      <c r="K296" s="6">
        <v>24</v>
      </c>
      <c r="L296" s="6" t="s">
        <v>19</v>
      </c>
      <c r="M296" s="6" t="s">
        <v>37</v>
      </c>
      <c r="N296" s="6" t="str">
        <f>VLOOKUP(Table1[[#This Row],[elevator_traction_machine]],'Product inf'!A:B,2,FALSE)</f>
        <v>SP015</v>
      </c>
      <c r="O296" s="6" t="s">
        <v>8</v>
      </c>
      <c r="P296" s="6" t="s">
        <v>9</v>
      </c>
      <c r="Q296" s="6" t="s">
        <v>70</v>
      </c>
      <c r="R296" s="6" t="s">
        <v>68</v>
      </c>
      <c r="S296" s="6">
        <v>582520000</v>
      </c>
      <c r="U296" s="6">
        <v>582520000</v>
      </c>
      <c r="V296" s="6">
        <v>541100000</v>
      </c>
      <c r="X296" s="6">
        <v>30000000</v>
      </c>
      <c r="Y296" s="6">
        <v>13000000</v>
      </c>
      <c r="Z296" s="8">
        <v>45587</v>
      </c>
      <c r="AA296" s="6" t="s">
        <v>2074</v>
      </c>
    </row>
    <row r="297" spans="1:27" x14ac:dyDescent="0.25">
      <c r="A297" s="8">
        <v>45411</v>
      </c>
      <c r="B297" s="6" t="s">
        <v>104</v>
      </c>
      <c r="C297" s="6" t="s">
        <v>1686</v>
      </c>
      <c r="D297" s="6" t="s">
        <v>36</v>
      </c>
      <c r="E297" s="6" t="str">
        <f>VLOOKUP(D297,'shipping inf'!B:D,2,FALSE)</f>
        <v>TP Hồ Chí Minh</v>
      </c>
      <c r="F297" s="6" t="s">
        <v>791</v>
      </c>
      <c r="G297" s="6">
        <v>120</v>
      </c>
      <c r="H297" s="6">
        <v>2410500101</v>
      </c>
      <c r="I297" s="6" t="s">
        <v>1365</v>
      </c>
      <c r="J297" s="6">
        <v>24</v>
      </c>
      <c r="K297" s="6">
        <v>24</v>
      </c>
      <c r="L297" s="6" t="s">
        <v>17</v>
      </c>
      <c r="M297" s="6" t="s">
        <v>37</v>
      </c>
      <c r="N297" s="6" t="str">
        <f>VLOOKUP(Table1[[#This Row],[elevator_traction_machine]],'Product inf'!A:B,2,FALSE)</f>
        <v>SP015</v>
      </c>
      <c r="O297" s="6" t="s">
        <v>3</v>
      </c>
      <c r="P297" s="6" t="s">
        <v>9</v>
      </c>
      <c r="Q297" s="6" t="s">
        <v>70</v>
      </c>
      <c r="R297" s="6" t="s">
        <v>68</v>
      </c>
      <c r="S297" s="6">
        <v>417000000</v>
      </c>
      <c r="U297" s="6">
        <v>417000000</v>
      </c>
      <c r="V297" s="6">
        <v>422500000</v>
      </c>
      <c r="X297" s="6">
        <v>23000000</v>
      </c>
      <c r="Y297" s="6">
        <v>5910000</v>
      </c>
      <c r="Z297" s="8">
        <v>45420</v>
      </c>
      <c r="AA297" s="6" t="s">
        <v>1944</v>
      </c>
    </row>
    <row r="298" spans="1:27" x14ac:dyDescent="0.25">
      <c r="A298" s="8">
        <v>45737</v>
      </c>
      <c r="B298" s="6" t="s">
        <v>280</v>
      </c>
      <c r="C298" s="6" t="s">
        <v>1687</v>
      </c>
      <c r="D298" s="6" t="s">
        <v>48</v>
      </c>
      <c r="E298" s="6" t="str">
        <f>VLOOKUP(D298,'shipping inf'!B:D,2,FALSE)</f>
        <v>Đồng Nai</v>
      </c>
      <c r="F298" s="6" t="s">
        <v>792</v>
      </c>
      <c r="G298" s="6">
        <v>90</v>
      </c>
      <c r="H298" s="6">
        <v>2510500101</v>
      </c>
      <c r="I298" s="6" t="s">
        <v>1369</v>
      </c>
      <c r="J298" s="6">
        <v>24</v>
      </c>
      <c r="K298" s="6">
        <v>24</v>
      </c>
      <c r="L298" s="6" t="s">
        <v>15</v>
      </c>
      <c r="M298" s="6" t="s">
        <v>37</v>
      </c>
      <c r="N298" s="6" t="str">
        <f>VLOOKUP(Table1[[#This Row],[elevator_traction_machine]],'Product inf'!A:B,2,FALSE)</f>
        <v>SP015</v>
      </c>
      <c r="O298" s="6" t="s">
        <v>3</v>
      </c>
      <c r="P298" s="6" t="s">
        <v>9</v>
      </c>
      <c r="Q298" s="6" t="s">
        <v>70</v>
      </c>
      <c r="R298" s="6" t="s">
        <v>68</v>
      </c>
      <c r="S298" s="6">
        <v>441498000</v>
      </c>
      <c r="U298" s="6">
        <v>441498000</v>
      </c>
      <c r="V298" s="6">
        <v>435870000</v>
      </c>
      <c r="X298" s="6">
        <v>15000000</v>
      </c>
      <c r="Y298" s="6">
        <v>6000000</v>
      </c>
      <c r="Z298" s="8">
        <v>45738</v>
      </c>
      <c r="AA298" s="6" t="s">
        <v>2179</v>
      </c>
    </row>
    <row r="299" spans="1:27" x14ac:dyDescent="0.25">
      <c r="A299" s="8">
        <v>46031</v>
      </c>
      <c r="B299" s="6" t="s">
        <v>473</v>
      </c>
      <c r="C299" s="6" t="s">
        <v>1688</v>
      </c>
      <c r="D299" s="6" t="s">
        <v>36</v>
      </c>
      <c r="E299" s="6" t="str">
        <f>VLOOKUP(D299,'shipping inf'!B:D,2,FALSE)</f>
        <v>TP Hồ Chí Minh</v>
      </c>
      <c r="F299" s="6" t="s">
        <v>793</v>
      </c>
      <c r="G299" s="6">
        <v>150</v>
      </c>
      <c r="H299" s="6">
        <v>2610500101</v>
      </c>
      <c r="I299" s="6" t="s">
        <v>1369</v>
      </c>
      <c r="J299" s="6">
        <v>24</v>
      </c>
      <c r="K299" s="6">
        <v>24</v>
      </c>
      <c r="L299" s="6" t="s">
        <v>7</v>
      </c>
      <c r="M299" s="6" t="s">
        <v>37</v>
      </c>
      <c r="N299" s="6" t="str">
        <f>VLOOKUP(Table1[[#This Row],[elevator_traction_machine]],'Product inf'!A:B,2,FALSE)</f>
        <v>SP013</v>
      </c>
      <c r="O299" s="6" t="s">
        <v>8</v>
      </c>
      <c r="P299" s="6" t="s">
        <v>9</v>
      </c>
      <c r="Q299" s="6" t="s">
        <v>474</v>
      </c>
      <c r="R299" s="6" t="s">
        <v>68</v>
      </c>
      <c r="S299" s="6">
        <v>551800000</v>
      </c>
      <c r="U299" s="6">
        <v>551800000</v>
      </c>
      <c r="V299" s="6">
        <v>550800000</v>
      </c>
      <c r="X299" s="6">
        <v>30000000</v>
      </c>
      <c r="Y299" s="6">
        <v>8000000</v>
      </c>
      <c r="Z299" s="8">
        <v>46032</v>
      </c>
      <c r="AA299" s="6" t="s">
        <v>2389</v>
      </c>
    </row>
    <row r="300" spans="1:27" x14ac:dyDescent="0.25">
      <c r="A300" s="8">
        <v>45430</v>
      </c>
      <c r="B300" s="6" t="s">
        <v>111</v>
      </c>
      <c r="C300" s="6" t="s">
        <v>1689</v>
      </c>
      <c r="D300" s="6" t="s">
        <v>55</v>
      </c>
      <c r="E300" s="6" t="str">
        <f>VLOOKUP(D300,'shipping inf'!B:D,2,FALSE)</f>
        <v>Đắk Lắk</v>
      </c>
      <c r="F300" s="6" t="s">
        <v>794</v>
      </c>
      <c r="G300" s="6">
        <v>150</v>
      </c>
      <c r="H300" s="6">
        <v>2410500201</v>
      </c>
      <c r="I300" s="6" t="s">
        <v>1365</v>
      </c>
      <c r="J300" s="6">
        <v>24</v>
      </c>
      <c r="K300" s="6">
        <v>24</v>
      </c>
      <c r="L300" s="6" t="s">
        <v>19</v>
      </c>
      <c r="M300" s="6" t="s">
        <v>37</v>
      </c>
      <c r="N300" s="6" t="str">
        <f>VLOOKUP(Table1[[#This Row],[elevator_traction_machine]],'Product inf'!A:B,2,FALSE)</f>
        <v>SP015</v>
      </c>
      <c r="O300" s="6" t="s">
        <v>3</v>
      </c>
      <c r="P300" s="6" t="s">
        <v>9</v>
      </c>
      <c r="Q300" s="6" t="s">
        <v>70</v>
      </c>
      <c r="R300" s="6" t="s">
        <v>68</v>
      </c>
      <c r="S300" s="6">
        <v>604000000</v>
      </c>
      <c r="T300" s="6">
        <v>48320000</v>
      </c>
      <c r="U300" s="6">
        <v>652320000</v>
      </c>
      <c r="V300" s="6">
        <v>507000000</v>
      </c>
      <c r="X300" s="6">
        <v>80000000</v>
      </c>
      <c r="Y300" s="6">
        <v>8584800</v>
      </c>
      <c r="Z300" s="8">
        <v>45430</v>
      </c>
      <c r="AA300" s="6" t="s">
        <v>1965</v>
      </c>
    </row>
    <row r="301" spans="1:27" x14ac:dyDescent="0.25">
      <c r="A301" s="8">
        <v>46048</v>
      </c>
      <c r="B301" s="6" t="s">
        <v>478</v>
      </c>
      <c r="C301" s="6" t="s">
        <v>1690</v>
      </c>
      <c r="D301" s="6" t="s">
        <v>36</v>
      </c>
      <c r="E301" s="6" t="str">
        <f>VLOOKUP(D301,'shipping inf'!B:D,2,FALSE)</f>
        <v>TP Hồ Chí Minh</v>
      </c>
      <c r="F301" s="6" t="s">
        <v>795</v>
      </c>
      <c r="G301" s="6">
        <v>120</v>
      </c>
      <c r="H301" s="6">
        <v>2610500201</v>
      </c>
      <c r="I301" s="6" t="s">
        <v>1369</v>
      </c>
      <c r="J301" s="6">
        <v>24</v>
      </c>
      <c r="K301" s="6">
        <v>24</v>
      </c>
      <c r="L301" s="6" t="s">
        <v>19</v>
      </c>
      <c r="M301" s="6" t="s">
        <v>37</v>
      </c>
      <c r="N301" s="6" t="str">
        <f>VLOOKUP(Table1[[#This Row],[elevator_traction_machine]],'Product inf'!A:B,2,FALSE)</f>
        <v>SP006</v>
      </c>
      <c r="O301" s="6" t="s">
        <v>8</v>
      </c>
      <c r="P301" s="6" t="s">
        <v>9</v>
      </c>
      <c r="Q301" s="6" t="s">
        <v>67</v>
      </c>
      <c r="R301" s="6" t="s">
        <v>68</v>
      </c>
      <c r="S301" s="6">
        <v>443000000</v>
      </c>
      <c r="U301" s="6">
        <v>443000000</v>
      </c>
      <c r="V301" s="6">
        <v>431400000</v>
      </c>
      <c r="X301" s="6">
        <v>20000000</v>
      </c>
      <c r="Y301" s="6">
        <v>12000000</v>
      </c>
      <c r="Z301" s="8">
        <v>46050</v>
      </c>
      <c r="AA301" s="6" t="s">
        <v>2389</v>
      </c>
    </row>
    <row r="302" spans="1:27" x14ac:dyDescent="0.25">
      <c r="A302" s="8">
        <v>45966</v>
      </c>
      <c r="B302" s="6" t="s">
        <v>440</v>
      </c>
      <c r="C302" s="6" t="s">
        <v>1691</v>
      </c>
      <c r="D302" s="6" t="s">
        <v>36</v>
      </c>
      <c r="E302" s="6" t="str">
        <f>VLOOKUP(D302,'shipping inf'!B:D,2,FALSE)</f>
        <v>TP Hồ Chí Minh</v>
      </c>
      <c r="F302" s="6" t="s">
        <v>796</v>
      </c>
      <c r="G302" s="6">
        <v>45</v>
      </c>
      <c r="H302" s="6">
        <v>2510500201</v>
      </c>
      <c r="I302" s="6" t="s">
        <v>1369</v>
      </c>
      <c r="J302" s="6">
        <v>24</v>
      </c>
      <c r="K302" s="6">
        <v>12</v>
      </c>
      <c r="L302" s="6" t="s">
        <v>15</v>
      </c>
      <c r="M302" s="6" t="s">
        <v>37</v>
      </c>
      <c r="N302" s="6" t="str">
        <f>VLOOKUP(Table1[[#This Row],[elevator_traction_machine]],'Product inf'!A:B,2,FALSE)</f>
        <v>SP015</v>
      </c>
      <c r="O302" s="6" t="s">
        <v>3</v>
      </c>
      <c r="P302" s="6" t="s">
        <v>9</v>
      </c>
      <c r="Q302" s="6" t="s">
        <v>70</v>
      </c>
      <c r="R302" s="6" t="s">
        <v>68</v>
      </c>
      <c r="S302" s="6">
        <v>483400000</v>
      </c>
      <c r="T302" s="6">
        <v>38672000</v>
      </c>
      <c r="U302" s="6">
        <v>522072000</v>
      </c>
      <c r="V302" s="6">
        <v>475000000</v>
      </c>
      <c r="Y302" s="6">
        <v>6000000</v>
      </c>
      <c r="Z302" s="8">
        <v>45768</v>
      </c>
      <c r="AA302" s="6" t="s">
        <v>2347</v>
      </c>
    </row>
    <row r="303" spans="1:27" x14ac:dyDescent="0.25">
      <c r="A303" s="8">
        <v>45372</v>
      </c>
      <c r="B303" s="6" t="s">
        <v>90</v>
      </c>
      <c r="C303" s="6" t="s">
        <v>1692</v>
      </c>
      <c r="D303" s="6" t="s">
        <v>36</v>
      </c>
      <c r="E303" s="6" t="str">
        <f>VLOOKUP(D303,'shipping inf'!B:D,2,FALSE)</f>
        <v>TP Hồ Chí Minh</v>
      </c>
      <c r="F303" s="6" t="s">
        <v>797</v>
      </c>
      <c r="G303" s="6">
        <v>90</v>
      </c>
      <c r="H303" s="6">
        <v>2410500301</v>
      </c>
      <c r="I303" s="6" t="s">
        <v>1365</v>
      </c>
      <c r="J303" s="6">
        <v>24</v>
      </c>
      <c r="K303" s="6">
        <v>24</v>
      </c>
      <c r="L303" s="6" t="s">
        <v>19</v>
      </c>
      <c r="M303" s="6" t="s">
        <v>37</v>
      </c>
      <c r="N303" s="6" t="str">
        <f>VLOOKUP(Table1[[#This Row],[elevator_traction_machine]],'Product inf'!A:B,2,FALSE)</f>
        <v>SP015</v>
      </c>
      <c r="O303" s="6" t="s">
        <v>3</v>
      </c>
      <c r="P303" s="6" t="s">
        <v>9</v>
      </c>
      <c r="Q303" s="6" t="s">
        <v>70</v>
      </c>
      <c r="R303" s="6" t="s">
        <v>68</v>
      </c>
      <c r="S303" s="6">
        <v>376000000</v>
      </c>
      <c r="U303" s="6">
        <v>376000000</v>
      </c>
      <c r="X303" s="6">
        <v>15000000</v>
      </c>
      <c r="Y303" s="6">
        <v>5415000</v>
      </c>
      <c r="Z303" s="8">
        <v>45372</v>
      </c>
      <c r="AA303" s="6" t="s">
        <v>1923</v>
      </c>
    </row>
    <row r="304" spans="1:27" x14ac:dyDescent="0.25">
      <c r="A304" s="8">
        <v>45799</v>
      </c>
      <c r="B304" s="6" t="s">
        <v>310</v>
      </c>
      <c r="C304" s="6" t="s">
        <v>1693</v>
      </c>
      <c r="D304" s="6" t="s">
        <v>36</v>
      </c>
      <c r="E304" s="6" t="str">
        <f>VLOOKUP(D304,'shipping inf'!B:D,2,FALSE)</f>
        <v>TP Hồ Chí Minh</v>
      </c>
      <c r="F304" s="6" t="s">
        <v>798</v>
      </c>
      <c r="G304" s="6">
        <v>60</v>
      </c>
      <c r="H304" s="6">
        <v>2510500301</v>
      </c>
      <c r="I304" s="6" t="s">
        <v>1369</v>
      </c>
      <c r="J304" s="6">
        <v>24</v>
      </c>
      <c r="K304" s="6">
        <v>24</v>
      </c>
      <c r="L304" s="6" t="s">
        <v>15</v>
      </c>
      <c r="M304" s="6" t="s">
        <v>37</v>
      </c>
      <c r="N304" s="6" t="str">
        <f>VLOOKUP(Table1[[#This Row],[elevator_traction_machine]],'Product inf'!A:B,2,FALSE)</f>
        <v>SP006</v>
      </c>
      <c r="O304" s="6" t="s">
        <v>3</v>
      </c>
      <c r="P304" s="6" t="s">
        <v>9</v>
      </c>
      <c r="Q304" s="6" t="s">
        <v>67</v>
      </c>
      <c r="R304" s="6" t="s">
        <v>68</v>
      </c>
      <c r="S304" s="6">
        <v>350000000</v>
      </c>
      <c r="T304" s="6">
        <v>28000000</v>
      </c>
      <c r="U304" s="6">
        <v>378000000</v>
      </c>
      <c r="V304" s="6">
        <v>369618000</v>
      </c>
      <c r="W304" s="6">
        <v>20000000</v>
      </c>
      <c r="X304" s="6">
        <v>5000000</v>
      </c>
      <c r="Y304" s="6">
        <v>6000000</v>
      </c>
      <c r="Z304" s="8">
        <v>45799</v>
      </c>
      <c r="AA304" s="6" t="s">
        <v>2221</v>
      </c>
    </row>
    <row r="305" spans="1:27" x14ac:dyDescent="0.25">
      <c r="A305" s="8">
        <v>45416</v>
      </c>
      <c r="B305" s="6" t="s">
        <v>100</v>
      </c>
      <c r="C305" s="6" t="s">
        <v>1694</v>
      </c>
      <c r="D305" s="6" t="s">
        <v>36</v>
      </c>
      <c r="E305" s="6" t="str">
        <f>VLOOKUP(D305,'shipping inf'!B:D,2,FALSE)</f>
        <v>TP Hồ Chí Minh</v>
      </c>
      <c r="F305" s="6" t="s">
        <v>799</v>
      </c>
      <c r="G305" s="6">
        <v>60</v>
      </c>
      <c r="H305" s="6">
        <v>2410500401</v>
      </c>
      <c r="I305" s="6" t="s">
        <v>1365</v>
      </c>
      <c r="J305" s="6">
        <v>24</v>
      </c>
      <c r="K305" s="6">
        <v>24</v>
      </c>
      <c r="L305" s="6" t="s">
        <v>15</v>
      </c>
      <c r="M305" s="6" t="s">
        <v>37</v>
      </c>
      <c r="N305" s="6" t="str">
        <f>VLOOKUP(Table1[[#This Row],[elevator_traction_machine]],'Product inf'!A:B,2,FALSE)</f>
        <v>SP015</v>
      </c>
      <c r="O305" s="6" t="s">
        <v>3</v>
      </c>
      <c r="P305" s="6" t="s">
        <v>9</v>
      </c>
      <c r="Q305" s="6" t="s">
        <v>70</v>
      </c>
      <c r="R305" s="6" t="s">
        <v>68</v>
      </c>
      <c r="S305" s="6">
        <v>421300000</v>
      </c>
      <c r="U305" s="6">
        <v>421300000</v>
      </c>
      <c r="V305" s="6">
        <v>421800200</v>
      </c>
      <c r="X305" s="6">
        <v>15000000</v>
      </c>
      <c r="Y305" s="6">
        <v>6094500</v>
      </c>
      <c r="Z305" s="8">
        <v>45416</v>
      </c>
      <c r="AA305" s="6" t="s">
        <v>1965</v>
      </c>
    </row>
    <row r="306" spans="1:27" x14ac:dyDescent="0.25">
      <c r="A306" s="8">
        <v>45371</v>
      </c>
      <c r="B306" s="6" t="s">
        <v>88</v>
      </c>
      <c r="C306" s="6" t="s">
        <v>1695</v>
      </c>
      <c r="D306" s="6" t="s">
        <v>36</v>
      </c>
      <c r="E306" s="6" t="str">
        <f>VLOOKUP(D306,'shipping inf'!B:D,2,FALSE)</f>
        <v>TP Hồ Chí Minh</v>
      </c>
      <c r="F306" s="6" t="s">
        <v>800</v>
      </c>
      <c r="G306" s="6">
        <v>30</v>
      </c>
      <c r="H306" s="6">
        <v>2410500501</v>
      </c>
      <c r="I306" s="6" t="s">
        <v>1365</v>
      </c>
      <c r="J306" s="6">
        <v>24</v>
      </c>
      <c r="K306" s="6">
        <v>24</v>
      </c>
      <c r="L306" s="6" t="s">
        <v>19</v>
      </c>
      <c r="M306" s="6" t="s">
        <v>37</v>
      </c>
      <c r="N306" s="6" t="str">
        <f>VLOOKUP(Table1[[#This Row],[elevator_traction_machine]],'Product inf'!A:B,2,FALSE)</f>
        <v>SP015</v>
      </c>
      <c r="O306" s="6" t="s">
        <v>3</v>
      </c>
      <c r="P306" s="6" t="s">
        <v>9</v>
      </c>
      <c r="Q306" s="6" t="s">
        <v>70</v>
      </c>
      <c r="R306" s="6" t="s">
        <v>68</v>
      </c>
      <c r="S306" s="6">
        <v>446000000</v>
      </c>
      <c r="U306" s="6">
        <v>446000000</v>
      </c>
      <c r="V306" s="6">
        <v>449500000</v>
      </c>
      <c r="X306" s="6">
        <v>20000000</v>
      </c>
      <c r="Y306" s="6">
        <v>6390000</v>
      </c>
      <c r="Z306" s="8">
        <v>45372</v>
      </c>
      <c r="AA306" s="6" t="s">
        <v>1923</v>
      </c>
    </row>
    <row r="307" spans="1:27" x14ac:dyDescent="0.25">
      <c r="A307" s="8">
        <v>45866</v>
      </c>
      <c r="B307" s="6" t="s">
        <v>364</v>
      </c>
      <c r="C307" s="6" t="s">
        <v>1696</v>
      </c>
      <c r="D307" s="6" t="s">
        <v>36</v>
      </c>
      <c r="E307" s="6" t="str">
        <f>VLOOKUP(D307,'shipping inf'!B:D,2,FALSE)</f>
        <v>TP Hồ Chí Minh</v>
      </c>
      <c r="F307" s="6" t="s">
        <v>801</v>
      </c>
      <c r="G307" s="6">
        <v>120</v>
      </c>
      <c r="H307" s="6">
        <v>2510500501</v>
      </c>
      <c r="I307" s="6" t="s">
        <v>1369</v>
      </c>
      <c r="J307" s="6">
        <v>24</v>
      </c>
      <c r="K307" s="6">
        <v>24</v>
      </c>
      <c r="L307" s="6" t="s">
        <v>19</v>
      </c>
      <c r="M307" s="6" t="s">
        <v>37</v>
      </c>
      <c r="N307" s="6" t="str">
        <f>VLOOKUP(Table1[[#This Row],[elevator_traction_machine]],'Product inf'!A:B,2,FALSE)</f>
        <v>SP001</v>
      </c>
      <c r="O307" s="6" t="s">
        <v>3</v>
      </c>
      <c r="P307" s="6" t="s">
        <v>9</v>
      </c>
      <c r="Q307" s="6" t="s">
        <v>252</v>
      </c>
      <c r="R307" s="6" t="s">
        <v>68</v>
      </c>
      <c r="S307" s="6">
        <v>392900000</v>
      </c>
      <c r="U307" s="6">
        <v>392900000</v>
      </c>
      <c r="V307" s="6">
        <v>392900000</v>
      </c>
      <c r="X307" s="6">
        <v>18000000</v>
      </c>
      <c r="Y307" s="6">
        <v>10000000</v>
      </c>
      <c r="Z307" s="8">
        <v>45875</v>
      </c>
      <c r="AA307" s="6" t="s">
        <v>2263</v>
      </c>
    </row>
    <row r="308" spans="1:27" x14ac:dyDescent="0.25">
      <c r="A308" s="8">
        <v>45381</v>
      </c>
      <c r="B308" s="6" t="s">
        <v>97</v>
      </c>
      <c r="C308" s="6" t="s">
        <v>1697</v>
      </c>
      <c r="D308" s="6" t="s">
        <v>36</v>
      </c>
      <c r="E308" s="6" t="str">
        <f>VLOOKUP(D308,'shipping inf'!B:D,2,FALSE)</f>
        <v>TP Hồ Chí Minh</v>
      </c>
      <c r="F308" s="6" t="s">
        <v>802</v>
      </c>
      <c r="G308" s="6">
        <v>90</v>
      </c>
      <c r="H308" s="6">
        <v>2410500601</v>
      </c>
      <c r="I308" s="6" t="s">
        <v>1365</v>
      </c>
      <c r="J308" s="6">
        <v>24</v>
      </c>
      <c r="K308" s="6">
        <v>24</v>
      </c>
      <c r="L308" s="6" t="s">
        <v>17</v>
      </c>
      <c r="M308" s="6" t="s">
        <v>37</v>
      </c>
      <c r="N308" s="6" t="str">
        <f>VLOOKUP(Table1[[#This Row],[elevator_traction_machine]],'Product inf'!A:B,2,FALSE)</f>
        <v>SP015</v>
      </c>
      <c r="O308" s="6" t="s">
        <v>3</v>
      </c>
      <c r="P308" s="6" t="s">
        <v>9</v>
      </c>
      <c r="Q308" s="6" t="s">
        <v>70</v>
      </c>
      <c r="R308" s="6" t="s">
        <v>68</v>
      </c>
      <c r="S308" s="6">
        <v>580450000</v>
      </c>
      <c r="U308" s="6">
        <v>580450000</v>
      </c>
      <c r="V308" s="6">
        <v>565973000</v>
      </c>
      <c r="X308" s="6">
        <v>23000000</v>
      </c>
      <c r="Y308" s="6">
        <v>8361750</v>
      </c>
      <c r="Z308" s="8">
        <v>45401</v>
      </c>
      <c r="AA308" s="6" t="s">
        <v>1923</v>
      </c>
    </row>
    <row r="309" spans="1:27" x14ac:dyDescent="0.25">
      <c r="A309" s="8">
        <v>45891</v>
      </c>
      <c r="B309" s="6" t="s">
        <v>377</v>
      </c>
      <c r="C309" s="6" t="s">
        <v>1698</v>
      </c>
      <c r="D309" s="6" t="s">
        <v>36</v>
      </c>
      <c r="E309" s="6" t="str">
        <f>VLOOKUP(D309,'shipping inf'!B:D,2,FALSE)</f>
        <v>TP Hồ Chí Minh</v>
      </c>
      <c r="F309" s="6" t="s">
        <v>688</v>
      </c>
      <c r="G309" s="6">
        <v>70</v>
      </c>
      <c r="H309" s="6">
        <v>2510500601</v>
      </c>
      <c r="I309" s="6" t="s">
        <v>1369</v>
      </c>
      <c r="J309" s="6">
        <v>24</v>
      </c>
      <c r="K309" s="6">
        <v>36</v>
      </c>
      <c r="L309" s="6" t="s">
        <v>15</v>
      </c>
      <c r="M309" s="6" t="s">
        <v>37</v>
      </c>
      <c r="N309" s="6" t="str">
        <f>VLOOKUP(Table1[[#This Row],[elevator_traction_machine]],'Product inf'!A:B,2,FALSE)</f>
        <v>SP015</v>
      </c>
      <c r="O309" s="6" t="s">
        <v>3</v>
      </c>
      <c r="P309" s="6" t="s">
        <v>9</v>
      </c>
      <c r="Q309" s="6" t="s">
        <v>70</v>
      </c>
      <c r="R309" s="6" t="s">
        <v>68</v>
      </c>
      <c r="S309" s="6">
        <v>388000000</v>
      </c>
      <c r="U309" s="6">
        <v>388000000</v>
      </c>
      <c r="V309" s="6">
        <v>409300000</v>
      </c>
      <c r="X309" s="6">
        <v>3000000</v>
      </c>
      <c r="Y309" s="6">
        <v>6000000</v>
      </c>
      <c r="Z309" s="8">
        <v>45891</v>
      </c>
      <c r="AA309" s="6" t="s">
        <v>2284</v>
      </c>
    </row>
    <row r="310" spans="1:27" x14ac:dyDescent="0.25">
      <c r="A310" s="8">
        <v>45433</v>
      </c>
      <c r="B310" s="6" t="s">
        <v>116</v>
      </c>
      <c r="C310" s="6" t="s">
        <v>1699</v>
      </c>
      <c r="D310" s="6" t="s">
        <v>36</v>
      </c>
      <c r="E310" s="6" t="str">
        <f>VLOOKUP(D310,'shipping inf'!B:D,2,FALSE)</f>
        <v>TP Hồ Chí Minh</v>
      </c>
      <c r="F310" s="6" t="s">
        <v>803</v>
      </c>
      <c r="G310" s="6">
        <v>60</v>
      </c>
      <c r="H310" s="6">
        <v>2410500701</v>
      </c>
      <c r="I310" s="6" t="s">
        <v>1365</v>
      </c>
      <c r="J310" s="6">
        <v>24</v>
      </c>
      <c r="K310" s="6">
        <v>24</v>
      </c>
      <c r="L310" s="6" t="s">
        <v>19</v>
      </c>
      <c r="M310" s="6" t="s">
        <v>37</v>
      </c>
      <c r="N310" s="6" t="str">
        <f>VLOOKUP(Table1[[#This Row],[elevator_traction_machine]],'Product inf'!A:B,2,FALSE)</f>
        <v>SP015</v>
      </c>
      <c r="O310" s="6" t="s">
        <v>3</v>
      </c>
      <c r="P310" s="6" t="s">
        <v>9</v>
      </c>
      <c r="Q310" s="6" t="s">
        <v>70</v>
      </c>
      <c r="R310" s="6" t="s">
        <v>68</v>
      </c>
      <c r="S310" s="6">
        <v>343943000</v>
      </c>
      <c r="U310" s="6">
        <v>343943000</v>
      </c>
      <c r="V310" s="6">
        <v>404243000</v>
      </c>
      <c r="Y310" s="6">
        <v>5159145</v>
      </c>
      <c r="Z310" s="8">
        <v>45434</v>
      </c>
      <c r="AA310" s="6" t="s">
        <v>1965</v>
      </c>
    </row>
    <row r="311" spans="1:27" x14ac:dyDescent="0.25">
      <c r="A311" s="8">
        <v>45905</v>
      </c>
      <c r="B311" s="6" t="s">
        <v>385</v>
      </c>
      <c r="C311" s="6" t="s">
        <v>1700</v>
      </c>
      <c r="D311" s="6" t="s">
        <v>36</v>
      </c>
      <c r="E311" s="6" t="str">
        <f>VLOOKUP(D311,'shipping inf'!B:D,2,FALSE)</f>
        <v>TP Hồ Chí Minh</v>
      </c>
      <c r="F311" s="6" t="s">
        <v>804</v>
      </c>
      <c r="G311" s="6">
        <v>120</v>
      </c>
      <c r="H311" s="6">
        <v>2510500701</v>
      </c>
      <c r="I311" s="6" t="s">
        <v>1369</v>
      </c>
      <c r="J311" s="6">
        <v>24</v>
      </c>
      <c r="K311" s="6">
        <v>24</v>
      </c>
      <c r="L311" s="6" t="s">
        <v>19</v>
      </c>
      <c r="M311" s="6" t="s">
        <v>37</v>
      </c>
      <c r="N311" s="6" t="str">
        <f>VLOOKUP(Table1[[#This Row],[elevator_traction_machine]],'Product inf'!A:B,2,FALSE)</f>
        <v>SP006</v>
      </c>
      <c r="O311" s="6" t="s">
        <v>8</v>
      </c>
      <c r="P311" s="6" t="s">
        <v>9</v>
      </c>
      <c r="Q311" s="6" t="s">
        <v>67</v>
      </c>
      <c r="R311" s="6" t="s">
        <v>68</v>
      </c>
      <c r="S311" s="6">
        <v>492000000</v>
      </c>
      <c r="U311" s="6">
        <v>492000000</v>
      </c>
      <c r="V311" s="6">
        <v>509000000</v>
      </c>
      <c r="X311" s="6">
        <v>14000000</v>
      </c>
      <c r="Y311" s="6">
        <v>6000000</v>
      </c>
      <c r="Z311" s="8">
        <v>45905</v>
      </c>
      <c r="AA311" s="6" t="s">
        <v>2305</v>
      </c>
    </row>
    <row r="312" spans="1:27" x14ac:dyDescent="0.25">
      <c r="A312" s="8">
        <v>45428</v>
      </c>
      <c r="B312" s="6" t="s">
        <v>109</v>
      </c>
      <c r="C312" s="6" t="s">
        <v>1701</v>
      </c>
      <c r="D312" s="6" t="s">
        <v>36</v>
      </c>
      <c r="E312" s="6" t="str">
        <f>VLOOKUP(D312,'shipping inf'!B:D,2,FALSE)</f>
        <v>TP Hồ Chí Minh</v>
      </c>
      <c r="F312" s="6" t="s">
        <v>805</v>
      </c>
      <c r="G312" s="6">
        <v>90</v>
      </c>
      <c r="H312" s="6">
        <v>2410500801</v>
      </c>
      <c r="I312" s="6" t="s">
        <v>1365</v>
      </c>
      <c r="J312" s="6">
        <v>24</v>
      </c>
      <c r="K312" s="6">
        <v>24</v>
      </c>
      <c r="L312" s="6" t="s">
        <v>17</v>
      </c>
      <c r="M312" s="6" t="s">
        <v>37</v>
      </c>
      <c r="N312" s="6" t="str">
        <f>VLOOKUP(Table1[[#This Row],[elevator_traction_machine]],'Product inf'!A:B,2,FALSE)</f>
        <v>SP006</v>
      </c>
      <c r="O312" s="6" t="s">
        <v>3</v>
      </c>
      <c r="P312" s="6" t="s">
        <v>9</v>
      </c>
      <c r="Q312" s="6" t="s">
        <v>67</v>
      </c>
      <c r="R312" s="6" t="s">
        <v>68</v>
      </c>
      <c r="S312" s="6">
        <v>335000000</v>
      </c>
      <c r="U312" s="6">
        <v>335000000</v>
      </c>
      <c r="V312" s="6">
        <v>339500000</v>
      </c>
      <c r="X312" s="6">
        <v>10000000</v>
      </c>
      <c r="Y312" s="6">
        <v>4875000</v>
      </c>
      <c r="Z312" s="8">
        <v>45428</v>
      </c>
      <c r="AA312" s="6" t="s">
        <v>1965</v>
      </c>
    </row>
    <row r="313" spans="1:27" x14ac:dyDescent="0.25">
      <c r="A313" s="8">
        <v>45898</v>
      </c>
      <c r="B313" s="6" t="s">
        <v>382</v>
      </c>
      <c r="C313" s="6" t="s">
        <v>1702</v>
      </c>
      <c r="D313" s="6" t="s">
        <v>36</v>
      </c>
      <c r="E313" s="6" t="str">
        <f>VLOOKUP(D313,'shipping inf'!B:D,2,FALSE)</f>
        <v>TP Hồ Chí Minh</v>
      </c>
      <c r="F313" s="6" t="s">
        <v>806</v>
      </c>
      <c r="G313" s="6">
        <v>120</v>
      </c>
      <c r="H313" s="6">
        <v>2510500801</v>
      </c>
      <c r="I313" s="6" t="s">
        <v>1369</v>
      </c>
      <c r="J313" s="6">
        <v>24</v>
      </c>
      <c r="K313" s="6">
        <v>12</v>
      </c>
      <c r="L313" s="6" t="s">
        <v>17</v>
      </c>
      <c r="M313" s="6" t="s">
        <v>37</v>
      </c>
      <c r="N313" s="6" t="str">
        <f>VLOOKUP(Table1[[#This Row],[elevator_traction_machine]],'Product inf'!A:B,2,FALSE)</f>
        <v>SP006</v>
      </c>
      <c r="O313" s="6" t="s">
        <v>3</v>
      </c>
      <c r="P313" s="6" t="s">
        <v>9</v>
      </c>
      <c r="Q313" s="6" t="s">
        <v>67</v>
      </c>
      <c r="R313" s="6" t="s">
        <v>68</v>
      </c>
      <c r="S313" s="6">
        <v>450000000</v>
      </c>
      <c r="U313" s="6">
        <v>450000000</v>
      </c>
      <c r="V313" s="6">
        <v>470800000</v>
      </c>
      <c r="X313" s="6">
        <v>25000000</v>
      </c>
      <c r="Y313" s="6">
        <v>6000000</v>
      </c>
      <c r="Z313" s="8">
        <v>45899</v>
      </c>
      <c r="AA313" s="6" t="s">
        <v>2284</v>
      </c>
    </row>
    <row r="314" spans="1:27" x14ac:dyDescent="0.25">
      <c r="A314" s="8">
        <v>45443</v>
      </c>
      <c r="B314" s="6" t="s">
        <v>124</v>
      </c>
      <c r="C314" s="6" t="s">
        <v>1703</v>
      </c>
      <c r="D314" s="6" t="s">
        <v>36</v>
      </c>
      <c r="E314" s="6" t="str">
        <f>VLOOKUP(D314,'shipping inf'!B:D,2,FALSE)</f>
        <v>TP Hồ Chí Minh</v>
      </c>
      <c r="F314" s="6" t="s">
        <v>807</v>
      </c>
      <c r="G314" s="6">
        <v>60</v>
      </c>
      <c r="H314" s="6">
        <v>2410500901</v>
      </c>
      <c r="I314" s="6" t="s">
        <v>1365</v>
      </c>
      <c r="J314" s="6">
        <v>24</v>
      </c>
      <c r="K314" s="6">
        <v>24</v>
      </c>
      <c r="L314" s="6" t="s">
        <v>19</v>
      </c>
      <c r="M314" s="6" t="s">
        <v>37</v>
      </c>
      <c r="N314" s="6" t="str">
        <f>VLOOKUP(Table1[[#This Row],[elevator_traction_machine]],'Product inf'!A:B,2,FALSE)</f>
        <v>SP015</v>
      </c>
      <c r="O314" s="6" t="s">
        <v>3</v>
      </c>
      <c r="P314" s="6" t="s">
        <v>9</v>
      </c>
      <c r="Q314" s="6" t="s">
        <v>70</v>
      </c>
      <c r="R314" s="6" t="s">
        <v>68</v>
      </c>
      <c r="S314" s="6">
        <v>375000000</v>
      </c>
      <c r="U314" s="6">
        <v>375000000</v>
      </c>
      <c r="V314" s="6">
        <v>397900000</v>
      </c>
      <c r="W314" s="6">
        <v>20000000</v>
      </c>
      <c r="X314" s="6">
        <v>20000000</v>
      </c>
      <c r="Y314" s="6">
        <v>5325000</v>
      </c>
      <c r="Z314" s="8">
        <v>45447</v>
      </c>
      <c r="AA314" s="6" t="s">
        <v>1965</v>
      </c>
    </row>
    <row r="315" spans="1:27" x14ac:dyDescent="0.25">
      <c r="A315" s="8">
        <v>45979</v>
      </c>
      <c r="B315" s="6" t="s">
        <v>444</v>
      </c>
      <c r="C315" s="6" t="s">
        <v>1704</v>
      </c>
      <c r="D315" s="6" t="s">
        <v>36</v>
      </c>
      <c r="E315" s="6" t="str">
        <f>VLOOKUP(D315,'shipping inf'!B:D,2,FALSE)</f>
        <v>TP Hồ Chí Minh</v>
      </c>
      <c r="F315" s="6" t="s">
        <v>808</v>
      </c>
      <c r="G315" s="6">
        <v>120</v>
      </c>
      <c r="H315" s="6">
        <v>2510500901</v>
      </c>
      <c r="I315" s="6" t="s">
        <v>1369</v>
      </c>
      <c r="J315" s="6">
        <v>24</v>
      </c>
      <c r="K315" s="6">
        <v>36</v>
      </c>
      <c r="L315" s="6" t="s">
        <v>17</v>
      </c>
      <c r="M315" s="6" t="s">
        <v>37</v>
      </c>
      <c r="N315" s="6" t="str">
        <f>VLOOKUP(Table1[[#This Row],[elevator_traction_machine]],'Product inf'!A:B,2,FALSE)</f>
        <v>SP006</v>
      </c>
      <c r="O315" s="6" t="s">
        <v>3</v>
      </c>
      <c r="P315" s="6" t="s">
        <v>9</v>
      </c>
      <c r="Q315" s="6" t="s">
        <v>67</v>
      </c>
      <c r="R315" s="6" t="s">
        <v>68</v>
      </c>
      <c r="S315" s="6">
        <v>383500000</v>
      </c>
      <c r="T315" s="6">
        <v>30680000</v>
      </c>
      <c r="U315" s="6">
        <v>414180000</v>
      </c>
      <c r="V315" s="6">
        <v>384000000</v>
      </c>
      <c r="X315" s="6">
        <v>25000000</v>
      </c>
      <c r="Y315" s="6">
        <v>6000000</v>
      </c>
      <c r="Z315" s="8">
        <v>45980</v>
      </c>
      <c r="AA315" s="6" t="s">
        <v>2347</v>
      </c>
    </row>
    <row r="316" spans="1:27" x14ac:dyDescent="0.25">
      <c r="A316" s="8">
        <v>45994</v>
      </c>
      <c r="B316" s="6" t="s">
        <v>456</v>
      </c>
      <c r="C316" s="6" t="s">
        <v>1705</v>
      </c>
      <c r="D316" s="6" t="s">
        <v>36</v>
      </c>
      <c r="E316" s="6" t="str">
        <f>VLOOKUP(D316,'shipping inf'!B:D,2,FALSE)</f>
        <v>TP Hồ Chí Minh</v>
      </c>
      <c r="F316" s="6" t="s">
        <v>809</v>
      </c>
      <c r="G316" s="6">
        <v>70</v>
      </c>
      <c r="H316" s="6">
        <v>2510501001</v>
      </c>
      <c r="I316" s="6" t="s">
        <v>1369</v>
      </c>
      <c r="J316" s="6">
        <v>24</v>
      </c>
      <c r="K316" s="6">
        <v>24</v>
      </c>
      <c r="L316" s="6" t="s">
        <v>17</v>
      </c>
      <c r="M316" s="6" t="s">
        <v>37</v>
      </c>
      <c r="N316" s="6" t="str">
        <f>VLOOKUP(Table1[[#This Row],[elevator_traction_machine]],'Product inf'!A:B,2,FALSE)</f>
        <v>SP006</v>
      </c>
      <c r="O316" s="6" t="s">
        <v>8</v>
      </c>
      <c r="P316" s="6" t="s">
        <v>9</v>
      </c>
      <c r="Q316" s="6" t="s">
        <v>67</v>
      </c>
      <c r="R316" s="6" t="s">
        <v>68</v>
      </c>
      <c r="S316" s="6">
        <v>722100000</v>
      </c>
      <c r="U316" s="6">
        <v>722100000</v>
      </c>
      <c r="V316" s="6">
        <v>718661960</v>
      </c>
      <c r="X316" s="6">
        <v>30000000</v>
      </c>
      <c r="Y316" s="6">
        <v>8000000</v>
      </c>
      <c r="Z316" s="8">
        <v>45996</v>
      </c>
      <c r="AA316" s="6" t="s">
        <v>2368</v>
      </c>
    </row>
    <row r="317" spans="1:27" x14ac:dyDescent="0.25">
      <c r="A317" s="8">
        <v>45491</v>
      </c>
      <c r="B317" s="6" t="s">
        <v>151</v>
      </c>
      <c r="C317" s="6" t="s">
        <v>1706</v>
      </c>
      <c r="D317" s="6" t="s">
        <v>47</v>
      </c>
      <c r="E317" s="6" t="str">
        <f>VLOOKUP(D317,'shipping inf'!B:D,2,FALSE)</f>
        <v>Tây Ninh</v>
      </c>
      <c r="F317" s="6" t="s">
        <v>810</v>
      </c>
      <c r="G317" s="6">
        <v>45</v>
      </c>
      <c r="H317" s="6">
        <v>2410501101</v>
      </c>
      <c r="I317" s="6" t="s">
        <v>1365</v>
      </c>
      <c r="J317" s="6">
        <v>24</v>
      </c>
      <c r="K317" s="6">
        <v>24</v>
      </c>
      <c r="L317" s="6" t="s">
        <v>19</v>
      </c>
      <c r="M317" s="6" t="s">
        <v>37</v>
      </c>
      <c r="N317" s="6" t="str">
        <f>VLOOKUP(Table1[[#This Row],[elevator_traction_machine]],'Product inf'!A:B,2,FALSE)</f>
        <v>SP015</v>
      </c>
      <c r="O317" s="6" t="s">
        <v>8</v>
      </c>
      <c r="P317" s="6" t="s">
        <v>9</v>
      </c>
      <c r="Q317" s="6" t="s">
        <v>70</v>
      </c>
      <c r="R317" s="6" t="s">
        <v>68</v>
      </c>
      <c r="S317" s="6">
        <v>360000000</v>
      </c>
      <c r="U317" s="6">
        <v>360000000</v>
      </c>
      <c r="V317" s="6">
        <v>375800000</v>
      </c>
      <c r="X317" s="6">
        <v>25000000</v>
      </c>
      <c r="Y317" s="6">
        <v>6000000</v>
      </c>
      <c r="Z317" s="8">
        <v>45492</v>
      </c>
      <c r="AA317" s="6" t="s">
        <v>2007</v>
      </c>
    </row>
    <row r="318" spans="1:27" x14ac:dyDescent="0.25">
      <c r="A318" s="8">
        <v>45524</v>
      </c>
      <c r="B318" s="6" t="s">
        <v>173</v>
      </c>
      <c r="C318" s="6" t="s">
        <v>1707</v>
      </c>
      <c r="D318" s="6" t="s">
        <v>36</v>
      </c>
      <c r="E318" s="6" t="str">
        <f>VLOOKUP(D318,'shipping inf'!B:D,2,FALSE)</f>
        <v>TP Hồ Chí Minh</v>
      </c>
      <c r="F318" s="6" t="s">
        <v>811</v>
      </c>
      <c r="G318" s="6">
        <v>60</v>
      </c>
      <c r="H318" s="6">
        <v>2410501201</v>
      </c>
      <c r="I318" s="6" t="s">
        <v>1365</v>
      </c>
      <c r="J318" s="6">
        <v>24</v>
      </c>
      <c r="K318" s="6">
        <v>24</v>
      </c>
      <c r="L318" s="6" t="s">
        <v>19</v>
      </c>
      <c r="M318" s="6" t="s">
        <v>37</v>
      </c>
      <c r="N318" s="6" t="str">
        <f>VLOOKUP(Table1[[#This Row],[elevator_traction_machine]],'Product inf'!A:B,2,FALSE)</f>
        <v>SP015</v>
      </c>
      <c r="O318" s="6" t="s">
        <v>3</v>
      </c>
      <c r="P318" s="6" t="s">
        <v>9</v>
      </c>
      <c r="Q318" s="6" t="s">
        <v>70</v>
      </c>
      <c r="R318" s="6" t="s">
        <v>68</v>
      </c>
      <c r="S318" s="6">
        <v>374000000</v>
      </c>
      <c r="U318" s="6">
        <v>374000000</v>
      </c>
      <c r="V318" s="6">
        <v>355300000</v>
      </c>
      <c r="X318" s="6">
        <v>30000000</v>
      </c>
      <c r="Y318" s="6">
        <v>5160000</v>
      </c>
      <c r="Z318" s="8">
        <v>45525</v>
      </c>
      <c r="AA318" s="6" t="s">
        <v>2028</v>
      </c>
    </row>
    <row r="319" spans="1:27" x14ac:dyDescent="0.25">
      <c r="A319" s="8">
        <v>45528</v>
      </c>
      <c r="B319" s="6" t="s">
        <v>177</v>
      </c>
      <c r="C319" s="6" t="s">
        <v>1708</v>
      </c>
      <c r="D319" s="6" t="s">
        <v>36</v>
      </c>
      <c r="E319" s="6" t="str">
        <f>VLOOKUP(D319,'shipping inf'!B:D,2,FALSE)</f>
        <v>TP Hồ Chí Minh</v>
      </c>
      <c r="F319" s="6" t="s">
        <v>812</v>
      </c>
      <c r="G319" s="6">
        <v>120</v>
      </c>
      <c r="H319" s="6">
        <v>2410501301</v>
      </c>
      <c r="I319" s="6" t="s">
        <v>1365</v>
      </c>
      <c r="J319" s="6">
        <v>24</v>
      </c>
      <c r="K319" s="6">
        <v>24</v>
      </c>
      <c r="L319" s="6" t="s">
        <v>19</v>
      </c>
      <c r="M319" s="6" t="s">
        <v>37</v>
      </c>
      <c r="N319" s="6" t="str">
        <f>VLOOKUP(Table1[[#This Row],[elevator_traction_machine]],'Product inf'!A:B,2,FALSE)</f>
        <v>SP015</v>
      </c>
      <c r="O319" s="6" t="s">
        <v>3</v>
      </c>
      <c r="P319" s="6" t="s">
        <v>9</v>
      </c>
      <c r="Q319" s="6" t="s">
        <v>70</v>
      </c>
      <c r="R319" s="6" t="s">
        <v>68</v>
      </c>
      <c r="S319" s="6">
        <v>552000000</v>
      </c>
      <c r="U319" s="6">
        <v>552000000</v>
      </c>
      <c r="V319" s="6">
        <v>546800000</v>
      </c>
      <c r="X319" s="6">
        <v>15000000</v>
      </c>
      <c r="Y319" s="6">
        <v>8055000</v>
      </c>
      <c r="Z319" s="8">
        <v>45530</v>
      </c>
      <c r="AA319" s="6" t="s">
        <v>2028</v>
      </c>
    </row>
    <row r="320" spans="1:27" x14ac:dyDescent="0.25">
      <c r="A320" s="8">
        <v>45495</v>
      </c>
      <c r="B320" s="6" t="s">
        <v>156</v>
      </c>
      <c r="C320" s="6" t="s">
        <v>1709</v>
      </c>
      <c r="D320" s="6" t="s">
        <v>36</v>
      </c>
      <c r="E320" s="6" t="str">
        <f>VLOOKUP(D320,'shipping inf'!B:D,2,FALSE)</f>
        <v>TP Hồ Chí Minh</v>
      </c>
      <c r="F320" s="6" t="s">
        <v>813</v>
      </c>
      <c r="G320" s="6">
        <v>60</v>
      </c>
      <c r="H320" s="6">
        <v>2410501501</v>
      </c>
      <c r="I320" s="6" t="s">
        <v>1365</v>
      </c>
      <c r="J320" s="6">
        <v>24</v>
      </c>
      <c r="K320" s="6">
        <v>24</v>
      </c>
      <c r="L320" s="6" t="s">
        <v>19</v>
      </c>
      <c r="M320" s="6" t="s">
        <v>37</v>
      </c>
      <c r="N320" s="6" t="str">
        <f>VLOOKUP(Table1[[#This Row],[elevator_traction_machine]],'Product inf'!A:B,2,FALSE)</f>
        <v>SP015</v>
      </c>
      <c r="O320" s="6" t="s">
        <v>8</v>
      </c>
      <c r="P320" s="6" t="s">
        <v>9</v>
      </c>
      <c r="Q320" s="6" t="s">
        <v>70</v>
      </c>
      <c r="R320" s="6" t="s">
        <v>68</v>
      </c>
      <c r="S320" s="6">
        <v>539000000</v>
      </c>
      <c r="U320" s="6">
        <v>539000000</v>
      </c>
      <c r="V320" s="6">
        <v>582258000</v>
      </c>
      <c r="X320" s="6">
        <v>20000000</v>
      </c>
      <c r="Y320" s="6">
        <v>7785000</v>
      </c>
      <c r="Z320" s="8">
        <v>45500</v>
      </c>
      <c r="AA320" s="6" t="s">
        <v>2007</v>
      </c>
    </row>
    <row r="321" spans="1:27" x14ac:dyDescent="0.25">
      <c r="A321" s="8">
        <v>45530</v>
      </c>
      <c r="B321" s="6" t="s">
        <v>182</v>
      </c>
      <c r="C321" s="6" t="s">
        <v>1710</v>
      </c>
      <c r="D321" s="6" t="s">
        <v>36</v>
      </c>
      <c r="E321" s="6" t="str">
        <f>VLOOKUP(D321,'shipping inf'!B:D,2,FALSE)</f>
        <v>TP Hồ Chí Minh</v>
      </c>
      <c r="F321" s="6" t="s">
        <v>814</v>
      </c>
      <c r="G321" s="6">
        <v>70</v>
      </c>
      <c r="H321" s="6">
        <v>2410501601</v>
      </c>
      <c r="I321" s="6" t="s">
        <v>1365</v>
      </c>
      <c r="J321" s="6">
        <v>24</v>
      </c>
      <c r="K321" s="6">
        <v>24</v>
      </c>
      <c r="L321" s="6" t="s">
        <v>19</v>
      </c>
      <c r="M321" s="6" t="s">
        <v>37</v>
      </c>
      <c r="N321" s="6" t="str">
        <f>VLOOKUP(Table1[[#This Row],[elevator_traction_machine]],'Product inf'!A:B,2,FALSE)</f>
        <v>SP006</v>
      </c>
      <c r="O321" s="6" t="s">
        <v>3</v>
      </c>
      <c r="P321" s="6" t="s">
        <v>9</v>
      </c>
      <c r="Q321" s="6" t="s">
        <v>67</v>
      </c>
      <c r="R321" s="6" t="s">
        <v>68</v>
      </c>
      <c r="S321" s="6">
        <v>740000000</v>
      </c>
      <c r="T321" s="6">
        <v>59200000</v>
      </c>
      <c r="U321" s="6">
        <v>799200000</v>
      </c>
      <c r="X321" s="6">
        <v>40000000</v>
      </c>
      <c r="Y321" s="6">
        <v>10500000</v>
      </c>
      <c r="Z321" s="8">
        <v>45532</v>
      </c>
      <c r="AA321" s="6" t="s">
        <v>2028</v>
      </c>
    </row>
    <row r="322" spans="1:27" x14ac:dyDescent="0.25">
      <c r="A322" s="8">
        <v>45530</v>
      </c>
      <c r="B322" s="6" t="s">
        <v>182</v>
      </c>
      <c r="C322" s="6" t="s">
        <v>1711</v>
      </c>
      <c r="D322" s="6" t="s">
        <v>36</v>
      </c>
      <c r="E322" s="6" t="str">
        <f>VLOOKUP(D322,'shipping inf'!B:D,2,FALSE)</f>
        <v>TP Hồ Chí Minh</v>
      </c>
      <c r="F322" s="6" t="s">
        <v>814</v>
      </c>
      <c r="G322" s="6">
        <v>70</v>
      </c>
      <c r="H322" s="6">
        <v>2410501602</v>
      </c>
      <c r="I322" s="6" t="s">
        <v>1365</v>
      </c>
      <c r="J322" s="6">
        <v>24</v>
      </c>
      <c r="K322" s="6">
        <v>24</v>
      </c>
      <c r="L322" s="6" t="s">
        <v>19</v>
      </c>
      <c r="M322" s="6" t="s">
        <v>37</v>
      </c>
      <c r="N322" s="6" t="str">
        <f>VLOOKUP(Table1[[#This Row],[elevator_traction_machine]],'Product inf'!A:B,2,FALSE)</f>
        <v>SP006</v>
      </c>
      <c r="O322" s="6" t="s">
        <v>3</v>
      </c>
      <c r="P322" s="6" t="s">
        <v>9</v>
      </c>
      <c r="Q322" s="6" t="s">
        <v>67</v>
      </c>
      <c r="R322" s="6" t="s">
        <v>68</v>
      </c>
      <c r="U322" s="6">
        <v>0</v>
      </c>
      <c r="Z322" s="8">
        <v>45532</v>
      </c>
      <c r="AA322" s="6" t="s">
        <v>2028</v>
      </c>
    </row>
    <row r="323" spans="1:27" x14ac:dyDescent="0.25">
      <c r="A323" s="8">
        <v>45581</v>
      </c>
      <c r="B323" s="6" t="s">
        <v>219</v>
      </c>
      <c r="C323" s="6" t="s">
        <v>1712</v>
      </c>
      <c r="D323" s="6" t="s">
        <v>36</v>
      </c>
      <c r="E323" s="6" t="str">
        <f>VLOOKUP(D323,'shipping inf'!B:D,2,FALSE)</f>
        <v>TP Hồ Chí Minh</v>
      </c>
      <c r="F323" s="6" t="s">
        <v>815</v>
      </c>
      <c r="G323" s="6">
        <v>120</v>
      </c>
      <c r="H323" s="6">
        <v>2410501701</v>
      </c>
      <c r="I323" s="6" t="s">
        <v>1365</v>
      </c>
      <c r="L323" s="6" t="s">
        <v>19</v>
      </c>
      <c r="M323" s="6" t="s">
        <v>37</v>
      </c>
      <c r="N323" s="6" t="str">
        <f>VLOOKUP(Table1[[#This Row],[elevator_traction_machine]],'Product inf'!A:B,2,FALSE)</f>
        <v>SP015</v>
      </c>
      <c r="O323" s="6" t="s">
        <v>3</v>
      </c>
      <c r="P323" s="6" t="s">
        <v>9</v>
      </c>
      <c r="Q323" s="6" t="s">
        <v>70</v>
      </c>
      <c r="R323" s="6" t="s">
        <v>68</v>
      </c>
      <c r="S323" s="6">
        <v>520370370</v>
      </c>
      <c r="T323" s="6">
        <v>41629630</v>
      </c>
      <c r="U323" s="6">
        <v>562000000</v>
      </c>
      <c r="X323" s="6">
        <v>68400000</v>
      </c>
      <c r="Y323" s="6">
        <v>10000000</v>
      </c>
      <c r="Z323" s="8">
        <v>45595</v>
      </c>
      <c r="AA323" s="6" t="s">
        <v>2070</v>
      </c>
    </row>
    <row r="324" spans="1:27" x14ac:dyDescent="0.25">
      <c r="A324" s="8">
        <v>45563</v>
      </c>
      <c r="B324" s="6" t="s">
        <v>193</v>
      </c>
      <c r="C324" s="6" t="s">
        <v>1713</v>
      </c>
      <c r="D324" s="6" t="s">
        <v>36</v>
      </c>
      <c r="E324" s="6" t="str">
        <f>VLOOKUP(D324,'shipping inf'!B:D,2,FALSE)</f>
        <v>TP Hồ Chí Minh</v>
      </c>
      <c r="F324" s="6" t="s">
        <v>816</v>
      </c>
      <c r="G324" s="6">
        <v>60</v>
      </c>
      <c r="H324" s="6">
        <v>2410501801</v>
      </c>
      <c r="I324" s="6" t="s">
        <v>1365</v>
      </c>
      <c r="J324" s="6">
        <v>24</v>
      </c>
      <c r="K324" s="6">
        <v>24</v>
      </c>
      <c r="L324" s="6" t="s">
        <v>15</v>
      </c>
      <c r="M324" s="6" t="s">
        <v>37</v>
      </c>
      <c r="N324" s="6" t="str">
        <f>VLOOKUP(Table1[[#This Row],[elevator_traction_machine]],'Product inf'!A:B,2,FALSE)</f>
        <v>SP015</v>
      </c>
      <c r="O324" s="6" t="s">
        <v>8</v>
      </c>
      <c r="P324" s="6" t="s">
        <v>9</v>
      </c>
      <c r="Q324" s="6" t="s">
        <v>70</v>
      </c>
      <c r="R324" s="6" t="s">
        <v>68</v>
      </c>
      <c r="S324" s="6">
        <v>577000000</v>
      </c>
      <c r="U324" s="6">
        <v>577000000</v>
      </c>
      <c r="V324" s="6">
        <v>541900000</v>
      </c>
      <c r="X324" s="6">
        <v>35000000</v>
      </c>
      <c r="Y324" s="6">
        <v>8130000</v>
      </c>
      <c r="Z324" s="8">
        <v>45565</v>
      </c>
      <c r="AA324" s="6" t="s">
        <v>2049</v>
      </c>
    </row>
    <row r="325" spans="1:27" x14ac:dyDescent="0.25">
      <c r="A325" s="8">
        <v>45566</v>
      </c>
      <c r="B325" s="6" t="s">
        <v>198</v>
      </c>
      <c r="C325" s="6" t="s">
        <v>1714</v>
      </c>
      <c r="D325" s="6" t="s">
        <v>36</v>
      </c>
      <c r="E325" s="6" t="str">
        <f>VLOOKUP(D325,'shipping inf'!B:D,2,FALSE)</f>
        <v>TP Hồ Chí Minh</v>
      </c>
      <c r="F325" s="6" t="s">
        <v>817</v>
      </c>
      <c r="G325" s="6">
        <v>24</v>
      </c>
      <c r="H325" s="6">
        <v>2410501901</v>
      </c>
      <c r="I325" s="6" t="s">
        <v>1365</v>
      </c>
      <c r="J325" s="6">
        <v>36</v>
      </c>
      <c r="K325" s="6">
        <v>36</v>
      </c>
      <c r="L325" s="6" t="s">
        <v>19</v>
      </c>
      <c r="M325" s="6" t="s">
        <v>37</v>
      </c>
      <c r="N325" s="6" t="str">
        <f>VLOOKUP(Table1[[#This Row],[elevator_traction_machine]],'Product inf'!A:B,2,FALSE)</f>
        <v>SP015</v>
      </c>
      <c r="O325" s="6" t="s">
        <v>3</v>
      </c>
      <c r="P325" s="6" t="s">
        <v>9</v>
      </c>
      <c r="Q325" s="6" t="s">
        <v>70</v>
      </c>
      <c r="R325" s="6" t="s">
        <v>68</v>
      </c>
      <c r="S325" s="6">
        <v>540000000</v>
      </c>
      <c r="U325" s="6">
        <v>540000000</v>
      </c>
      <c r="V325" s="6">
        <v>578400000</v>
      </c>
      <c r="Y325" s="6">
        <v>8100000</v>
      </c>
      <c r="Z325" s="8">
        <v>45573</v>
      </c>
      <c r="AA325" s="6" t="s">
        <v>2070</v>
      </c>
    </row>
    <row r="326" spans="1:27" x14ac:dyDescent="0.25">
      <c r="A326" s="8">
        <v>45596</v>
      </c>
      <c r="B326" s="6" t="s">
        <v>226</v>
      </c>
      <c r="C326" s="6" t="s">
        <v>1715</v>
      </c>
      <c r="D326" s="6" t="s">
        <v>51</v>
      </c>
      <c r="E326" s="6" t="str">
        <f>VLOOKUP(D326,'shipping inf'!B:D,2,FALSE)</f>
        <v>Đồng Tháp</v>
      </c>
      <c r="F326" s="6" t="s">
        <v>818</v>
      </c>
      <c r="G326" s="6">
        <v>90</v>
      </c>
      <c r="H326" s="6">
        <v>2410502001</v>
      </c>
      <c r="I326" s="6" t="s">
        <v>1365</v>
      </c>
      <c r="J326" s="6">
        <v>24</v>
      </c>
      <c r="K326" s="6">
        <v>24</v>
      </c>
      <c r="L326" s="6" t="s">
        <v>19</v>
      </c>
      <c r="M326" s="6" t="s">
        <v>37</v>
      </c>
      <c r="N326" s="6" t="str">
        <f>VLOOKUP(Table1[[#This Row],[elevator_traction_machine]],'Product inf'!A:B,2,FALSE)</f>
        <v>SP006</v>
      </c>
      <c r="O326" s="6" t="s">
        <v>3</v>
      </c>
      <c r="P326" s="6" t="s">
        <v>9</v>
      </c>
      <c r="Q326" s="6" t="s">
        <v>67</v>
      </c>
      <c r="R326" s="6" t="s">
        <v>68</v>
      </c>
      <c r="S326" s="6">
        <v>469650000</v>
      </c>
      <c r="T326" s="6">
        <v>37572000</v>
      </c>
      <c r="U326" s="6">
        <v>507222000</v>
      </c>
      <c r="V326" s="6">
        <v>443000000</v>
      </c>
      <c r="X326" s="6">
        <v>30000000</v>
      </c>
      <c r="Y326" s="6">
        <v>6592500</v>
      </c>
      <c r="Z326" s="8">
        <v>45610</v>
      </c>
      <c r="AA326" s="6" t="s">
        <v>2070</v>
      </c>
    </row>
    <row r="327" spans="1:27" x14ac:dyDescent="0.25">
      <c r="A327" s="8">
        <v>45618</v>
      </c>
      <c r="B327" s="6" t="s">
        <v>230</v>
      </c>
      <c r="C327" s="6" t="s">
        <v>1716</v>
      </c>
      <c r="D327" s="6" t="s">
        <v>36</v>
      </c>
      <c r="E327" s="6" t="str">
        <f>VLOOKUP(D327,'shipping inf'!B:D,2,FALSE)</f>
        <v>TP Hồ Chí Minh</v>
      </c>
      <c r="F327" s="6" t="s">
        <v>819</v>
      </c>
      <c r="G327" s="6">
        <v>120</v>
      </c>
      <c r="H327" s="6">
        <v>2410502101</v>
      </c>
      <c r="I327" s="6" t="s">
        <v>1365</v>
      </c>
      <c r="J327" s="6">
        <v>24</v>
      </c>
      <c r="K327" s="6">
        <v>24</v>
      </c>
      <c r="L327" s="6" t="s">
        <v>17</v>
      </c>
      <c r="M327" s="6" t="s">
        <v>37</v>
      </c>
      <c r="N327" s="6" t="str">
        <f>VLOOKUP(Table1[[#This Row],[elevator_traction_machine]],'Product inf'!A:B,2,FALSE)</f>
        <v>SP006</v>
      </c>
      <c r="O327" s="6" t="s">
        <v>3</v>
      </c>
      <c r="P327" s="6" t="s">
        <v>9</v>
      </c>
      <c r="Q327" s="6" t="s">
        <v>67</v>
      </c>
      <c r="R327" s="6" t="s">
        <v>68</v>
      </c>
      <c r="S327" s="6">
        <v>384000000</v>
      </c>
      <c r="U327" s="6">
        <v>384000000</v>
      </c>
      <c r="V327" s="6">
        <v>383500000</v>
      </c>
      <c r="X327" s="6">
        <v>23000000</v>
      </c>
      <c r="Y327" s="6">
        <v>5415000</v>
      </c>
      <c r="Z327" s="8">
        <v>45621</v>
      </c>
      <c r="AA327" s="6" t="s">
        <v>2091</v>
      </c>
    </row>
    <row r="328" spans="1:27" x14ac:dyDescent="0.25">
      <c r="A328" s="8">
        <v>45299</v>
      </c>
      <c r="B328" s="6" t="s">
        <v>71</v>
      </c>
      <c r="C328" s="6" t="s">
        <v>1717</v>
      </c>
      <c r="D328" s="6" t="s">
        <v>36</v>
      </c>
      <c r="E328" s="6" t="str">
        <f>VLOOKUP(D328,'shipping inf'!B:D,2,FALSE)</f>
        <v>TP Hồ Chí Minh</v>
      </c>
      <c r="F328" s="6" t="s">
        <v>820</v>
      </c>
      <c r="G328" s="6">
        <v>120</v>
      </c>
      <c r="H328" s="6">
        <v>2410600101</v>
      </c>
      <c r="I328" s="6" t="s">
        <v>1359</v>
      </c>
      <c r="J328" s="6">
        <v>24</v>
      </c>
      <c r="K328" s="6">
        <v>24</v>
      </c>
      <c r="L328" s="6" t="s">
        <v>15</v>
      </c>
      <c r="M328" s="6" t="s">
        <v>37</v>
      </c>
      <c r="N328" s="6" t="str">
        <f>VLOOKUP(Table1[[#This Row],[elevator_traction_machine]],'Product inf'!A:B,2,FALSE)</f>
        <v>SP015</v>
      </c>
      <c r="O328" s="6" t="s">
        <v>3</v>
      </c>
      <c r="P328" s="6" t="s">
        <v>9</v>
      </c>
      <c r="Q328" s="6" t="s">
        <v>70</v>
      </c>
      <c r="R328" s="6" t="s">
        <v>68</v>
      </c>
      <c r="S328" s="6">
        <v>379000000</v>
      </c>
      <c r="U328" s="6">
        <v>379000000</v>
      </c>
      <c r="V328" s="6">
        <v>406600000</v>
      </c>
      <c r="Y328" s="6">
        <v>6000000</v>
      </c>
      <c r="Z328" s="8">
        <v>45300</v>
      </c>
      <c r="AA328" s="6" t="s">
        <v>1875</v>
      </c>
    </row>
    <row r="329" spans="1:27" x14ac:dyDescent="0.25">
      <c r="A329" s="8">
        <v>45660</v>
      </c>
      <c r="B329" s="6" t="s">
        <v>251</v>
      </c>
      <c r="C329" s="6" t="s">
        <v>1718</v>
      </c>
      <c r="D329" s="6" t="s">
        <v>36</v>
      </c>
      <c r="E329" s="6" t="str">
        <f>VLOOKUP(D329,'shipping inf'!B:D,2,FALSE)</f>
        <v>TP Hồ Chí Minh</v>
      </c>
      <c r="F329" s="6" t="s">
        <v>821</v>
      </c>
      <c r="G329" s="6">
        <v>75</v>
      </c>
      <c r="H329" s="6">
        <v>2510600101</v>
      </c>
      <c r="I329" s="6" t="s">
        <v>1359</v>
      </c>
      <c r="J329" s="6">
        <v>24</v>
      </c>
      <c r="K329" s="6">
        <v>24</v>
      </c>
      <c r="L329" s="6" t="s">
        <v>19</v>
      </c>
      <c r="M329" s="6" t="s">
        <v>37</v>
      </c>
      <c r="N329" s="6" t="str">
        <f>VLOOKUP(Table1[[#This Row],[elevator_traction_machine]],'Product inf'!A:B,2,FALSE)</f>
        <v>SP001</v>
      </c>
      <c r="O329" s="6" t="s">
        <v>3</v>
      </c>
      <c r="P329" s="6" t="s">
        <v>9</v>
      </c>
      <c r="Q329" s="6" t="s">
        <v>252</v>
      </c>
      <c r="R329" s="6" t="s">
        <v>68</v>
      </c>
      <c r="S329" s="6">
        <v>320000000</v>
      </c>
      <c r="U329" s="6">
        <v>320000000</v>
      </c>
      <c r="V329" s="6">
        <v>349000000</v>
      </c>
      <c r="X329" s="6">
        <v>0</v>
      </c>
      <c r="Y329" s="6">
        <v>6000000</v>
      </c>
      <c r="Z329" s="8">
        <v>45695</v>
      </c>
      <c r="AA329" s="6" t="s">
        <v>2127</v>
      </c>
    </row>
    <row r="330" spans="1:27" x14ac:dyDescent="0.25">
      <c r="A330" s="8">
        <v>45352</v>
      </c>
      <c r="B330" s="6" t="s">
        <v>80</v>
      </c>
      <c r="C330" s="6" t="s">
        <v>1719</v>
      </c>
      <c r="D330" s="6" t="s">
        <v>36</v>
      </c>
      <c r="E330" s="6" t="str">
        <f>VLOOKUP(D330,'shipping inf'!B:D,2,FALSE)</f>
        <v>TP Hồ Chí Minh</v>
      </c>
      <c r="F330" s="6" t="s">
        <v>822</v>
      </c>
      <c r="G330" s="6">
        <v>120</v>
      </c>
      <c r="H330" s="6">
        <v>2410600201</v>
      </c>
      <c r="I330" s="6" t="s">
        <v>1359</v>
      </c>
      <c r="J330" s="6">
        <v>24</v>
      </c>
      <c r="K330" s="6">
        <v>30</v>
      </c>
      <c r="L330" s="6" t="s">
        <v>15</v>
      </c>
      <c r="M330" s="6" t="s">
        <v>37</v>
      </c>
      <c r="N330" s="6" t="str">
        <f>VLOOKUP(Table1[[#This Row],[elevator_traction_machine]],'Product inf'!A:B,2,FALSE)</f>
        <v>SP015</v>
      </c>
      <c r="O330" s="6" t="s">
        <v>3</v>
      </c>
      <c r="P330" s="6" t="s">
        <v>9</v>
      </c>
      <c r="Q330" s="6" t="s">
        <v>70</v>
      </c>
      <c r="R330" s="6" t="s">
        <v>68</v>
      </c>
      <c r="S330" s="6">
        <v>408000000</v>
      </c>
      <c r="U330" s="6">
        <v>408000000</v>
      </c>
      <c r="V330" s="6">
        <v>416700000</v>
      </c>
      <c r="Y330" s="6">
        <v>6000000</v>
      </c>
      <c r="Z330" s="8">
        <v>45352</v>
      </c>
      <c r="AA330" s="6" t="s">
        <v>1917</v>
      </c>
    </row>
    <row r="331" spans="1:27" x14ac:dyDescent="0.25">
      <c r="A331" s="8">
        <v>45678</v>
      </c>
      <c r="B331" s="6" t="s">
        <v>261</v>
      </c>
      <c r="C331" s="6" t="s">
        <v>1720</v>
      </c>
      <c r="D331" s="6" t="s">
        <v>50</v>
      </c>
      <c r="E331" s="6" t="str">
        <f>VLOOKUP(D331,'shipping inf'!B:D,2,FALSE)</f>
        <v>Hà Nội</v>
      </c>
      <c r="F331" s="6" t="s">
        <v>823</v>
      </c>
      <c r="G331" s="6">
        <v>120</v>
      </c>
      <c r="H331" s="6">
        <v>2510600201</v>
      </c>
      <c r="I331" s="6" t="s">
        <v>1359</v>
      </c>
      <c r="J331" s="6">
        <v>24</v>
      </c>
      <c r="K331" s="6">
        <v>24</v>
      </c>
      <c r="L331" s="6" t="s">
        <v>19</v>
      </c>
      <c r="M331" s="6" t="s">
        <v>37</v>
      </c>
      <c r="N331" s="6" t="str">
        <f>VLOOKUP(Table1[[#This Row],[elevator_traction_machine]],'Product inf'!A:B,2,FALSE)</f>
        <v>SP015</v>
      </c>
      <c r="O331" s="6" t="s">
        <v>3</v>
      </c>
      <c r="P331" s="6" t="s">
        <v>9</v>
      </c>
      <c r="Q331" s="6" t="s">
        <v>70</v>
      </c>
      <c r="R331" s="6" t="s">
        <v>68</v>
      </c>
      <c r="S331" s="6">
        <v>395000000</v>
      </c>
      <c r="U331" s="6">
        <v>395000000</v>
      </c>
      <c r="V331" s="6">
        <v>417500000</v>
      </c>
      <c r="Y331" s="6">
        <v>6000000</v>
      </c>
      <c r="Z331" s="8">
        <v>45709</v>
      </c>
      <c r="AA331" s="6" t="s">
        <v>2127</v>
      </c>
    </row>
    <row r="332" spans="1:27" x14ac:dyDescent="0.25">
      <c r="A332" s="8">
        <v>45367</v>
      </c>
      <c r="B332" s="6" t="s">
        <v>86</v>
      </c>
      <c r="C332" s="6" t="s">
        <v>1721</v>
      </c>
      <c r="D332" s="6" t="s">
        <v>36</v>
      </c>
      <c r="E332" s="6" t="str">
        <f>VLOOKUP(D332,'shipping inf'!B:D,2,FALSE)</f>
        <v>TP Hồ Chí Minh</v>
      </c>
      <c r="F332" s="6" t="s">
        <v>824</v>
      </c>
      <c r="G332" s="6">
        <v>60</v>
      </c>
      <c r="H332" s="6">
        <v>2410600301</v>
      </c>
      <c r="I332" s="6" t="s">
        <v>1359</v>
      </c>
      <c r="J332" s="6">
        <v>24</v>
      </c>
      <c r="K332" s="6">
        <v>30</v>
      </c>
      <c r="L332" s="6" t="s">
        <v>19</v>
      </c>
      <c r="M332" s="6" t="s">
        <v>37</v>
      </c>
      <c r="N332" s="6" t="str">
        <f>VLOOKUP(Table1[[#This Row],[elevator_traction_machine]],'Product inf'!A:B,2,FALSE)</f>
        <v>SP015</v>
      </c>
      <c r="O332" s="6" t="s">
        <v>8</v>
      </c>
      <c r="P332" s="6" t="s">
        <v>9</v>
      </c>
      <c r="Q332" s="6" t="s">
        <v>70</v>
      </c>
      <c r="R332" s="6" t="s">
        <v>68</v>
      </c>
      <c r="S332" s="6">
        <v>608000000</v>
      </c>
      <c r="U332" s="6">
        <v>608000000</v>
      </c>
      <c r="V332" s="6">
        <v>592600000</v>
      </c>
      <c r="X332" s="6">
        <v>15000000</v>
      </c>
      <c r="Y332" s="6">
        <v>14000000</v>
      </c>
      <c r="Z332" s="8">
        <v>45369</v>
      </c>
      <c r="AA332" s="6" t="s">
        <v>1917</v>
      </c>
    </row>
    <row r="333" spans="1:27" x14ac:dyDescent="0.25">
      <c r="A333" s="8">
        <v>45693</v>
      </c>
      <c r="B333" s="6" t="s">
        <v>250</v>
      </c>
      <c r="C333" s="6" t="s">
        <v>1722</v>
      </c>
      <c r="D333" s="6" t="s">
        <v>47</v>
      </c>
      <c r="E333" s="6" t="str">
        <f>VLOOKUP(D333,'shipping inf'!B:D,2,FALSE)</f>
        <v>Tây Ninh</v>
      </c>
      <c r="F333" s="6" t="s">
        <v>825</v>
      </c>
      <c r="G333" s="6">
        <v>90</v>
      </c>
      <c r="H333" s="6">
        <v>2510600301</v>
      </c>
      <c r="I333" s="6" t="s">
        <v>1359</v>
      </c>
      <c r="J333" s="6">
        <v>12</v>
      </c>
      <c r="K333" s="6">
        <v>12</v>
      </c>
      <c r="L333" s="6" t="s">
        <v>12</v>
      </c>
      <c r="M333" s="6" t="s">
        <v>37</v>
      </c>
      <c r="N333" s="6" t="str">
        <f>VLOOKUP(Table1[[#This Row],[elevator_traction_machine]],'Product inf'!A:B,2,FALSE)</f>
        <v>SP006</v>
      </c>
      <c r="O333" s="6" t="s">
        <v>3</v>
      </c>
      <c r="P333" s="6" t="s">
        <v>4</v>
      </c>
      <c r="Q333" s="6" t="s">
        <v>67</v>
      </c>
      <c r="R333" s="6" t="s">
        <v>68</v>
      </c>
      <c r="S333" s="6">
        <v>843000000</v>
      </c>
      <c r="T333" s="6">
        <v>67440000</v>
      </c>
      <c r="U333" s="6">
        <v>910440000</v>
      </c>
      <c r="V333" s="6">
        <v>878150000</v>
      </c>
      <c r="X333" s="6">
        <v>42150000</v>
      </c>
      <c r="Y333" s="6">
        <v>10000000</v>
      </c>
      <c r="Z333" s="8">
        <v>45694</v>
      </c>
      <c r="AA333" s="6" t="s">
        <v>2148</v>
      </c>
    </row>
    <row r="334" spans="1:27" x14ac:dyDescent="0.25">
      <c r="A334" s="8">
        <v>45723</v>
      </c>
      <c r="B334" s="6" t="s">
        <v>273</v>
      </c>
      <c r="C334" s="6" t="s">
        <v>1723</v>
      </c>
      <c r="D334" s="6" t="s">
        <v>36</v>
      </c>
      <c r="E334" s="6" t="str">
        <f>VLOOKUP(D334,'shipping inf'!B:D,2,FALSE)</f>
        <v>TP Hồ Chí Minh</v>
      </c>
      <c r="F334" s="6" t="s">
        <v>826</v>
      </c>
      <c r="G334" s="6">
        <v>75</v>
      </c>
      <c r="H334" s="6">
        <v>2510600401</v>
      </c>
      <c r="I334" s="6" t="s">
        <v>1359</v>
      </c>
      <c r="J334" s="6">
        <v>24</v>
      </c>
      <c r="K334" s="6">
        <v>24</v>
      </c>
      <c r="L334" s="6" t="s">
        <v>19</v>
      </c>
      <c r="M334" s="6" t="s">
        <v>37</v>
      </c>
      <c r="N334" s="6" t="str">
        <f>VLOOKUP(Table1[[#This Row],[elevator_traction_machine]],'Product inf'!A:B,2,FALSE)</f>
        <v>SP006</v>
      </c>
      <c r="O334" s="6" t="s">
        <v>3</v>
      </c>
      <c r="P334" s="6" t="s">
        <v>9</v>
      </c>
      <c r="Q334" s="6" t="s">
        <v>67</v>
      </c>
      <c r="R334" s="6" t="s">
        <v>68</v>
      </c>
      <c r="S334" s="6">
        <v>440000000</v>
      </c>
      <c r="U334" s="6">
        <v>440000000</v>
      </c>
      <c r="V334" s="6">
        <v>431600000</v>
      </c>
      <c r="X334" s="6">
        <v>65000000</v>
      </c>
      <c r="Y334" s="6">
        <v>10000000</v>
      </c>
      <c r="Z334" s="8">
        <v>45729</v>
      </c>
      <c r="AA334" s="6" t="s">
        <v>2169</v>
      </c>
    </row>
    <row r="335" spans="1:27" x14ac:dyDescent="0.25">
      <c r="A335" s="8">
        <v>45430</v>
      </c>
      <c r="B335" s="6" t="s">
        <v>113</v>
      </c>
      <c r="C335" s="6" t="s">
        <v>1724</v>
      </c>
      <c r="D335" s="6" t="s">
        <v>36</v>
      </c>
      <c r="E335" s="6" t="str">
        <f>VLOOKUP(D335,'shipping inf'!B:D,2,FALSE)</f>
        <v>TP Hồ Chí Minh</v>
      </c>
      <c r="F335" s="6" t="s">
        <v>827</v>
      </c>
      <c r="G335" s="6">
        <v>120</v>
      </c>
      <c r="H335" s="6">
        <v>2410600501</v>
      </c>
      <c r="I335" s="6" t="s">
        <v>1359</v>
      </c>
      <c r="J335" s="6">
        <v>24</v>
      </c>
      <c r="K335" s="6">
        <v>24</v>
      </c>
      <c r="L335" s="6" t="s">
        <v>12</v>
      </c>
      <c r="M335" s="6" t="s">
        <v>37</v>
      </c>
      <c r="N335" s="6" t="str">
        <f>VLOOKUP(Table1[[#This Row],[elevator_traction_machine]],'Product inf'!A:B,2,FALSE)</f>
        <v>SP015</v>
      </c>
      <c r="O335" s="6" t="s">
        <v>3</v>
      </c>
      <c r="P335" s="6" t="s">
        <v>9</v>
      </c>
      <c r="Q335" s="6" t="s">
        <v>70</v>
      </c>
      <c r="R335" s="6" t="s">
        <v>68</v>
      </c>
      <c r="S335" s="6">
        <v>408000000</v>
      </c>
      <c r="U335" s="6">
        <v>408000000</v>
      </c>
      <c r="V335" s="6">
        <v>428060000</v>
      </c>
      <c r="Y335" s="6">
        <v>6000000</v>
      </c>
      <c r="Z335" s="8">
        <v>45432</v>
      </c>
      <c r="AA335" s="6" t="s">
        <v>1959</v>
      </c>
    </row>
    <row r="336" spans="1:27" x14ac:dyDescent="0.25">
      <c r="A336" s="8">
        <v>45721</v>
      </c>
      <c r="B336" s="6" t="s">
        <v>264</v>
      </c>
      <c r="C336" s="6" t="s">
        <v>1725</v>
      </c>
      <c r="D336" s="6" t="s">
        <v>36</v>
      </c>
      <c r="E336" s="6" t="str">
        <f>VLOOKUP(D336,'shipping inf'!B:D,2,FALSE)</f>
        <v>TP Hồ Chí Minh</v>
      </c>
      <c r="F336" s="6" t="s">
        <v>828</v>
      </c>
      <c r="G336" s="6">
        <v>75</v>
      </c>
      <c r="H336" s="6">
        <v>2510600501</v>
      </c>
      <c r="I336" s="6" t="s">
        <v>1359</v>
      </c>
      <c r="J336" s="6">
        <v>24</v>
      </c>
      <c r="K336" s="6">
        <v>24</v>
      </c>
      <c r="L336" s="6" t="s">
        <v>19</v>
      </c>
      <c r="M336" s="6" t="s">
        <v>37</v>
      </c>
      <c r="N336" s="6" t="str">
        <f>VLOOKUP(Table1[[#This Row],[elevator_traction_machine]],'Product inf'!A:B,2,FALSE)</f>
        <v>SP006</v>
      </c>
      <c r="O336" s="6" t="s">
        <v>3</v>
      </c>
      <c r="P336" s="6" t="s">
        <v>9</v>
      </c>
      <c r="Q336" s="6" t="s">
        <v>67</v>
      </c>
      <c r="R336" s="6" t="s">
        <v>68</v>
      </c>
      <c r="S336" s="6">
        <v>385000000</v>
      </c>
      <c r="U336" s="6">
        <v>385000000</v>
      </c>
      <c r="V336" s="6">
        <v>386600000</v>
      </c>
      <c r="X336" s="6">
        <v>15000000</v>
      </c>
      <c r="Y336" s="6">
        <v>10000000</v>
      </c>
      <c r="Z336" s="8">
        <v>45722</v>
      </c>
      <c r="AA336" s="6" t="s">
        <v>2169</v>
      </c>
    </row>
    <row r="337" spans="1:27" x14ac:dyDescent="0.25">
      <c r="A337" s="8">
        <v>45442</v>
      </c>
      <c r="B337" s="6" t="s">
        <v>121</v>
      </c>
      <c r="C337" s="6" t="s">
        <v>1726</v>
      </c>
      <c r="D337" s="6" t="s">
        <v>36</v>
      </c>
      <c r="E337" s="6" t="str">
        <f>VLOOKUP(D337,'shipping inf'!B:D,2,FALSE)</f>
        <v>TP Hồ Chí Minh</v>
      </c>
      <c r="F337" s="6" t="s">
        <v>829</v>
      </c>
      <c r="G337" s="6">
        <v>60</v>
      </c>
      <c r="H337" s="6">
        <v>2410600601</v>
      </c>
      <c r="I337" s="6" t="s">
        <v>1359</v>
      </c>
      <c r="J337" s="6">
        <v>24</v>
      </c>
      <c r="K337" s="6">
        <v>24</v>
      </c>
      <c r="L337" s="6" t="s">
        <v>15</v>
      </c>
      <c r="M337" s="6" t="s">
        <v>37</v>
      </c>
      <c r="N337" s="6" t="str">
        <f>VLOOKUP(Table1[[#This Row],[elevator_traction_machine]],'Product inf'!A:B,2,FALSE)</f>
        <v>SP006</v>
      </c>
      <c r="O337" s="6" t="s">
        <v>3</v>
      </c>
      <c r="P337" s="6" t="s">
        <v>9</v>
      </c>
      <c r="Q337" s="6" t="s">
        <v>67</v>
      </c>
      <c r="R337" s="6" t="s">
        <v>68</v>
      </c>
      <c r="S337" s="6">
        <v>530000000</v>
      </c>
      <c r="U337" s="6">
        <v>530000000</v>
      </c>
      <c r="V337" s="6">
        <v>537133200</v>
      </c>
      <c r="Y337" s="6">
        <v>8000000</v>
      </c>
      <c r="Z337" s="8">
        <v>45442</v>
      </c>
      <c r="AA337" s="6" t="s">
        <v>1959</v>
      </c>
    </row>
    <row r="338" spans="1:27" x14ac:dyDescent="0.25">
      <c r="A338" s="8">
        <v>45464</v>
      </c>
      <c r="B338" s="6" t="s">
        <v>130</v>
      </c>
      <c r="C338" s="6" t="s">
        <v>1727</v>
      </c>
      <c r="D338" s="6" t="s">
        <v>36</v>
      </c>
      <c r="E338" s="6" t="str">
        <f>VLOOKUP(D338,'shipping inf'!B:D,2,FALSE)</f>
        <v>TP Hồ Chí Minh</v>
      </c>
      <c r="F338" s="6" t="s">
        <v>830</v>
      </c>
      <c r="G338" s="6">
        <v>40</v>
      </c>
      <c r="H338" s="6">
        <v>2410600701</v>
      </c>
      <c r="I338" s="6" t="s">
        <v>1359</v>
      </c>
      <c r="J338" s="6">
        <v>24</v>
      </c>
      <c r="K338" s="6">
        <v>24</v>
      </c>
      <c r="L338" s="6" t="s">
        <v>15</v>
      </c>
      <c r="M338" s="6" t="s">
        <v>37</v>
      </c>
      <c r="N338" s="6" t="str">
        <f>VLOOKUP(Table1[[#This Row],[elevator_traction_machine]],'Product inf'!A:B,2,FALSE)</f>
        <v>SP015</v>
      </c>
      <c r="O338" s="6" t="s">
        <v>3</v>
      </c>
      <c r="P338" s="6" t="s">
        <v>9</v>
      </c>
      <c r="Q338" s="6" t="s">
        <v>70</v>
      </c>
      <c r="R338" s="6" t="s">
        <v>68</v>
      </c>
      <c r="S338" s="6">
        <v>355000000</v>
      </c>
      <c r="U338" s="6">
        <v>355000000</v>
      </c>
      <c r="V338" s="6">
        <v>404060000</v>
      </c>
      <c r="Y338" s="6">
        <v>6000000</v>
      </c>
      <c r="Z338" s="8">
        <v>45464</v>
      </c>
      <c r="AA338" s="6" t="s">
        <v>1980</v>
      </c>
    </row>
    <row r="339" spans="1:27" x14ac:dyDescent="0.25">
      <c r="A339" s="8">
        <v>45783</v>
      </c>
      <c r="B339" s="6" t="s">
        <v>301</v>
      </c>
      <c r="C339" s="6" t="s">
        <v>1728</v>
      </c>
      <c r="D339" s="6" t="s">
        <v>36</v>
      </c>
      <c r="E339" s="6" t="str">
        <f>VLOOKUP(D339,'shipping inf'!B:D,2,FALSE)</f>
        <v>TP Hồ Chí Minh</v>
      </c>
      <c r="F339" s="6" t="s">
        <v>831</v>
      </c>
      <c r="G339" s="6">
        <v>150</v>
      </c>
      <c r="H339" s="6">
        <v>2510600701</v>
      </c>
      <c r="I339" s="6" t="s">
        <v>1359</v>
      </c>
      <c r="J339" s="6">
        <v>24</v>
      </c>
      <c r="K339" s="6">
        <v>36</v>
      </c>
      <c r="L339" s="6" t="s">
        <v>19</v>
      </c>
      <c r="M339" s="6" t="s">
        <v>37</v>
      </c>
      <c r="N339" s="6" t="str">
        <f>VLOOKUP(Table1[[#This Row],[elevator_traction_machine]],'Product inf'!A:B,2,FALSE)</f>
        <v>SP015</v>
      </c>
      <c r="O339" s="6" t="s">
        <v>3</v>
      </c>
      <c r="P339" s="6" t="s">
        <v>9</v>
      </c>
      <c r="Q339" s="6" t="s">
        <v>70</v>
      </c>
      <c r="R339" s="6" t="s">
        <v>68</v>
      </c>
      <c r="S339" s="6">
        <v>370000000</v>
      </c>
      <c r="U339" s="6">
        <v>370000000</v>
      </c>
      <c r="V339" s="6">
        <v>370000000</v>
      </c>
      <c r="W339" s="6">
        <v>10000000</v>
      </c>
      <c r="X339" s="6">
        <v>20000000</v>
      </c>
      <c r="Y339" s="6">
        <v>10000000</v>
      </c>
      <c r="Z339" s="8">
        <v>45783</v>
      </c>
      <c r="AA339" s="6" t="s">
        <v>2211</v>
      </c>
    </row>
    <row r="340" spans="1:27" x14ac:dyDescent="0.25">
      <c r="A340" s="8">
        <v>45464</v>
      </c>
      <c r="B340" s="6" t="s">
        <v>131</v>
      </c>
      <c r="C340" s="6" t="s">
        <v>1729</v>
      </c>
      <c r="D340" s="6" t="s">
        <v>36</v>
      </c>
      <c r="E340" s="6" t="str">
        <f>VLOOKUP(D340,'shipping inf'!B:D,2,FALSE)</f>
        <v>TP Hồ Chí Minh</v>
      </c>
      <c r="F340" s="6" t="s">
        <v>832</v>
      </c>
      <c r="G340" s="6">
        <v>90</v>
      </c>
      <c r="H340" s="6">
        <v>2410600801</v>
      </c>
      <c r="I340" s="6" t="s">
        <v>1359</v>
      </c>
      <c r="J340" s="6">
        <v>24</v>
      </c>
      <c r="K340" s="6">
        <v>24</v>
      </c>
      <c r="L340" s="6" t="s">
        <v>19</v>
      </c>
      <c r="M340" s="6" t="s">
        <v>37</v>
      </c>
      <c r="N340" s="6" t="str">
        <f>VLOOKUP(Table1[[#This Row],[elevator_traction_machine]],'Product inf'!A:B,2,FALSE)</f>
        <v>SP008</v>
      </c>
      <c r="O340" s="6" t="s">
        <v>3</v>
      </c>
      <c r="P340" s="6" t="s">
        <v>9</v>
      </c>
      <c r="Q340" s="6" t="s">
        <v>132</v>
      </c>
      <c r="R340" s="6" t="s">
        <v>68</v>
      </c>
      <c r="S340" s="6">
        <v>357000000</v>
      </c>
      <c r="U340" s="6">
        <v>357000000</v>
      </c>
      <c r="V340" s="6">
        <v>314000000</v>
      </c>
      <c r="X340" s="6">
        <v>20000000</v>
      </c>
      <c r="Y340" s="6">
        <v>10000000</v>
      </c>
      <c r="Z340" s="8">
        <v>45464</v>
      </c>
      <c r="AA340" s="6" t="s">
        <v>1980</v>
      </c>
    </row>
    <row r="341" spans="1:27" x14ac:dyDescent="0.25">
      <c r="A341" s="8">
        <v>45473</v>
      </c>
      <c r="B341" s="6" t="s">
        <v>138</v>
      </c>
      <c r="C341" s="6" t="s">
        <v>1730</v>
      </c>
      <c r="D341" s="6" t="s">
        <v>36</v>
      </c>
      <c r="E341" s="6" t="str">
        <f>VLOOKUP(D341,'shipping inf'!B:D,2,FALSE)</f>
        <v>TP Hồ Chí Minh</v>
      </c>
      <c r="F341" s="6" t="s">
        <v>833</v>
      </c>
      <c r="G341" s="6">
        <v>120</v>
      </c>
      <c r="H341" s="6">
        <v>2410600901</v>
      </c>
      <c r="I341" s="6" t="s">
        <v>1359</v>
      </c>
      <c r="J341" s="6">
        <v>24</v>
      </c>
      <c r="K341" s="6">
        <v>24</v>
      </c>
      <c r="L341" s="6" t="s">
        <v>15</v>
      </c>
      <c r="M341" s="6" t="s">
        <v>37</v>
      </c>
      <c r="N341" s="6" t="str">
        <f>VLOOKUP(Table1[[#This Row],[elevator_traction_machine]],'Product inf'!A:B,2,FALSE)</f>
        <v>SP015</v>
      </c>
      <c r="O341" s="6" t="s">
        <v>8</v>
      </c>
      <c r="P341" s="6" t="s">
        <v>9</v>
      </c>
      <c r="Q341" s="6" t="s">
        <v>70</v>
      </c>
      <c r="R341" s="6" t="s">
        <v>68</v>
      </c>
      <c r="S341" s="6">
        <v>500000000</v>
      </c>
      <c r="U341" s="6">
        <v>500000000</v>
      </c>
      <c r="V341" s="6">
        <v>530360000</v>
      </c>
      <c r="Y341" s="6">
        <v>8000000</v>
      </c>
      <c r="Z341" s="8">
        <v>45475</v>
      </c>
      <c r="AA341" s="6" t="s">
        <v>1980</v>
      </c>
    </row>
    <row r="342" spans="1:27" x14ac:dyDescent="0.25">
      <c r="A342" s="8">
        <v>45799</v>
      </c>
      <c r="B342" s="6" t="s">
        <v>314</v>
      </c>
      <c r="C342" s="6" t="s">
        <v>1731</v>
      </c>
      <c r="D342" s="6" t="s">
        <v>36</v>
      </c>
      <c r="E342" s="6" t="str">
        <f>VLOOKUP(D342,'shipping inf'!B:D,2,FALSE)</f>
        <v>TP Hồ Chí Minh</v>
      </c>
      <c r="F342" s="6" t="s">
        <v>834</v>
      </c>
      <c r="G342" s="6">
        <v>150</v>
      </c>
      <c r="H342" s="6">
        <v>2510600901</v>
      </c>
      <c r="I342" s="6" t="s">
        <v>1359</v>
      </c>
      <c r="J342" s="6">
        <v>24</v>
      </c>
      <c r="K342" s="6">
        <v>36</v>
      </c>
      <c r="L342" s="6" t="s">
        <v>12</v>
      </c>
      <c r="M342" s="6" t="s">
        <v>37</v>
      </c>
      <c r="N342" s="6" t="str">
        <f>VLOOKUP(Table1[[#This Row],[elevator_traction_machine]],'Product inf'!A:B,2,FALSE)</f>
        <v>SP001</v>
      </c>
      <c r="O342" s="6" t="s">
        <v>3</v>
      </c>
      <c r="P342" s="6" t="s">
        <v>9</v>
      </c>
      <c r="Q342" s="6" t="s">
        <v>252</v>
      </c>
      <c r="R342" s="6" t="s">
        <v>68</v>
      </c>
      <c r="S342" s="6">
        <v>390000000</v>
      </c>
      <c r="U342" s="6">
        <v>390000000</v>
      </c>
      <c r="V342" s="6">
        <v>390000000</v>
      </c>
      <c r="Y342" s="6">
        <v>10000000</v>
      </c>
      <c r="Z342" s="8">
        <v>45800</v>
      </c>
      <c r="AA342" s="6" t="s">
        <v>2211</v>
      </c>
    </row>
    <row r="343" spans="1:27" x14ac:dyDescent="0.25">
      <c r="A343" s="8">
        <v>45491</v>
      </c>
      <c r="B343" s="6" t="s">
        <v>148</v>
      </c>
      <c r="C343" s="6" t="s">
        <v>1732</v>
      </c>
      <c r="D343" s="6" t="s">
        <v>36</v>
      </c>
      <c r="E343" s="6" t="str">
        <f>VLOOKUP(D343,'shipping inf'!B:D,2,FALSE)</f>
        <v>TP Hồ Chí Minh</v>
      </c>
      <c r="F343" s="6" t="s">
        <v>835</v>
      </c>
      <c r="G343" s="6">
        <v>120</v>
      </c>
      <c r="H343" s="6">
        <v>2410601001</v>
      </c>
      <c r="I343" s="6" t="s">
        <v>1359</v>
      </c>
      <c r="J343" s="6">
        <v>24</v>
      </c>
      <c r="K343" s="6">
        <v>24</v>
      </c>
      <c r="L343" s="6" t="s">
        <v>15</v>
      </c>
      <c r="M343" s="6" t="s">
        <v>37</v>
      </c>
      <c r="N343" s="6" t="str">
        <f>VLOOKUP(Table1[[#This Row],[elevator_traction_machine]],'Product inf'!A:B,2,FALSE)</f>
        <v>SP015</v>
      </c>
      <c r="O343" s="6" t="s">
        <v>3</v>
      </c>
      <c r="P343" s="6" t="s">
        <v>9</v>
      </c>
      <c r="Q343" s="6" t="s">
        <v>70</v>
      </c>
      <c r="R343" s="6" t="s">
        <v>68</v>
      </c>
      <c r="S343" s="6">
        <v>400000000</v>
      </c>
      <c r="U343" s="6">
        <v>400000000</v>
      </c>
      <c r="V343" s="6">
        <v>374500000</v>
      </c>
      <c r="X343" s="6">
        <v>25000000</v>
      </c>
      <c r="Y343" s="6">
        <v>6000000</v>
      </c>
      <c r="Z343" s="8">
        <v>45491</v>
      </c>
      <c r="AA343" s="6" t="s">
        <v>2001</v>
      </c>
    </row>
    <row r="344" spans="1:27" x14ac:dyDescent="0.25">
      <c r="A344" s="8">
        <v>45783</v>
      </c>
      <c r="B344" s="6" t="s">
        <v>303</v>
      </c>
      <c r="C344" s="6" t="s">
        <v>1733</v>
      </c>
      <c r="D344" s="6" t="s">
        <v>36</v>
      </c>
      <c r="E344" s="6" t="str">
        <f>VLOOKUP(D344,'shipping inf'!B:D,2,FALSE)</f>
        <v>TP Hồ Chí Minh</v>
      </c>
      <c r="F344" s="6" t="s">
        <v>836</v>
      </c>
      <c r="G344" s="6">
        <v>60</v>
      </c>
      <c r="H344" s="6">
        <v>2510601001</v>
      </c>
      <c r="I344" s="6" t="s">
        <v>1359</v>
      </c>
      <c r="J344" s="6">
        <v>24</v>
      </c>
      <c r="K344" s="6">
        <v>24</v>
      </c>
      <c r="L344" s="6" t="s">
        <v>19</v>
      </c>
      <c r="M344" s="6" t="s">
        <v>37</v>
      </c>
      <c r="N344" s="6" t="str">
        <f>VLOOKUP(Table1[[#This Row],[elevator_traction_machine]],'Product inf'!A:B,2,FALSE)</f>
        <v>SP001</v>
      </c>
      <c r="O344" s="6" t="s">
        <v>3</v>
      </c>
      <c r="P344" s="6" t="s">
        <v>9</v>
      </c>
      <c r="Q344" s="6" t="s">
        <v>252</v>
      </c>
      <c r="R344" s="6" t="s">
        <v>68</v>
      </c>
      <c r="S344" s="6">
        <v>470000000</v>
      </c>
      <c r="U344" s="6">
        <v>470000000</v>
      </c>
      <c r="V344" s="6">
        <v>470000000</v>
      </c>
      <c r="W344" s="6">
        <v>10000000</v>
      </c>
      <c r="X344" s="6">
        <v>20000000</v>
      </c>
      <c r="Y344" s="6">
        <v>12000000</v>
      </c>
      <c r="Z344" s="8">
        <v>45783</v>
      </c>
      <c r="AA344" s="6" t="s">
        <v>2211</v>
      </c>
    </row>
    <row r="345" spans="1:27" x14ac:dyDescent="0.25">
      <c r="A345" s="8">
        <v>45534</v>
      </c>
      <c r="B345" s="6" t="s">
        <v>195</v>
      </c>
      <c r="C345" s="6" t="s">
        <v>1734</v>
      </c>
      <c r="D345" s="6" t="s">
        <v>36</v>
      </c>
      <c r="E345" s="6" t="str">
        <f>VLOOKUP(D345,'shipping inf'!B:D,2,FALSE)</f>
        <v>TP Hồ Chí Minh</v>
      </c>
      <c r="F345" s="6" t="s">
        <v>837</v>
      </c>
      <c r="G345" s="6">
        <v>120</v>
      </c>
      <c r="H345" s="6">
        <v>2410601101</v>
      </c>
      <c r="I345" s="6" t="s">
        <v>1359</v>
      </c>
      <c r="J345" s="6">
        <v>24</v>
      </c>
      <c r="K345" s="6">
        <v>24</v>
      </c>
      <c r="L345" s="6" t="s">
        <v>15</v>
      </c>
      <c r="M345" s="6" t="s">
        <v>37</v>
      </c>
      <c r="N345" s="6" t="str">
        <f>VLOOKUP(Table1[[#This Row],[elevator_traction_machine]],'Product inf'!A:B,2,FALSE)</f>
        <v>SP015</v>
      </c>
      <c r="O345" s="6" t="s">
        <v>3</v>
      </c>
      <c r="P345" s="6" t="s">
        <v>9</v>
      </c>
      <c r="Q345" s="6" t="s">
        <v>70</v>
      </c>
      <c r="R345" s="6" t="s">
        <v>68</v>
      </c>
      <c r="S345" s="6">
        <v>415000000</v>
      </c>
      <c r="U345" s="6">
        <v>415000000</v>
      </c>
      <c r="V345" s="6">
        <v>427900000</v>
      </c>
      <c r="Y345" s="6">
        <v>8000000</v>
      </c>
      <c r="Z345" s="8">
        <v>45573</v>
      </c>
      <c r="AA345" s="6" t="s">
        <v>2022</v>
      </c>
    </row>
    <row r="346" spans="1:27" x14ac:dyDescent="0.25">
      <c r="A346" s="8">
        <v>45789</v>
      </c>
      <c r="B346" s="6" t="s">
        <v>306</v>
      </c>
      <c r="C346" s="6" t="s">
        <v>1735</v>
      </c>
      <c r="D346" s="6" t="s">
        <v>36</v>
      </c>
      <c r="E346" s="6" t="str">
        <f>VLOOKUP(D346,'shipping inf'!B:D,2,FALSE)</f>
        <v>TP Hồ Chí Minh</v>
      </c>
      <c r="F346" s="6" t="s">
        <v>838</v>
      </c>
      <c r="G346" s="6">
        <v>90</v>
      </c>
      <c r="H346" s="6">
        <v>2510601101</v>
      </c>
      <c r="I346" s="6" t="s">
        <v>1359</v>
      </c>
      <c r="J346" s="6">
        <v>24</v>
      </c>
      <c r="K346" s="6">
        <v>24</v>
      </c>
      <c r="L346" s="6" t="s">
        <v>15</v>
      </c>
      <c r="M346" s="6" t="s">
        <v>37</v>
      </c>
      <c r="N346" s="6" t="str">
        <f>VLOOKUP(Table1[[#This Row],[elevator_traction_machine]],'Product inf'!A:B,2,FALSE)</f>
        <v>SP006</v>
      </c>
      <c r="O346" s="6" t="s">
        <v>3</v>
      </c>
      <c r="P346" s="6" t="s">
        <v>9</v>
      </c>
      <c r="Q346" s="6" t="s">
        <v>67</v>
      </c>
      <c r="R346" s="6" t="s">
        <v>68</v>
      </c>
      <c r="S346" s="6">
        <v>530000000</v>
      </c>
      <c r="U346" s="6">
        <v>530000000</v>
      </c>
      <c r="V346" s="6">
        <v>539730000</v>
      </c>
      <c r="W346" s="6">
        <v>10000000</v>
      </c>
      <c r="X346" s="6">
        <v>20000000</v>
      </c>
      <c r="Y346" s="6">
        <v>8000000</v>
      </c>
      <c r="Z346" s="8">
        <v>45789</v>
      </c>
      <c r="AA346" s="6" t="s">
        <v>2211</v>
      </c>
    </row>
    <row r="347" spans="1:27" x14ac:dyDescent="0.25">
      <c r="A347" s="8">
        <v>45546</v>
      </c>
      <c r="B347" s="6" t="s">
        <v>185</v>
      </c>
      <c r="C347" s="6" t="s">
        <v>1736</v>
      </c>
      <c r="D347" s="6" t="s">
        <v>48</v>
      </c>
      <c r="E347" s="6" t="str">
        <f>VLOOKUP(D347,'shipping inf'!B:D,2,FALSE)</f>
        <v>Đồng Nai</v>
      </c>
      <c r="F347" s="6" t="s">
        <v>839</v>
      </c>
      <c r="G347" s="6">
        <v>60</v>
      </c>
      <c r="H347" s="6">
        <v>2410601201</v>
      </c>
      <c r="I347" s="6" t="s">
        <v>1359</v>
      </c>
      <c r="J347" s="6">
        <v>24</v>
      </c>
      <c r="K347" s="6">
        <v>24</v>
      </c>
      <c r="L347" s="6" t="s">
        <v>19</v>
      </c>
      <c r="M347" s="6" t="s">
        <v>37</v>
      </c>
      <c r="N347" s="6" t="str">
        <f>VLOOKUP(Table1[[#This Row],[elevator_traction_machine]],'Product inf'!A:B,2,FALSE)</f>
        <v>SP015</v>
      </c>
      <c r="O347" s="6" t="s">
        <v>8</v>
      </c>
      <c r="P347" s="6" t="s">
        <v>9</v>
      </c>
      <c r="Q347" s="6" t="s">
        <v>70</v>
      </c>
      <c r="R347" s="6" t="s">
        <v>68</v>
      </c>
      <c r="S347" s="6">
        <v>510000000</v>
      </c>
      <c r="U347" s="6">
        <v>510000000</v>
      </c>
      <c r="V347" s="6">
        <v>545520000</v>
      </c>
      <c r="W347" s="6">
        <v>20000000</v>
      </c>
      <c r="Y347" s="6">
        <v>6000000</v>
      </c>
      <c r="Z347" s="8">
        <v>45547</v>
      </c>
      <c r="AA347" s="6" t="s">
        <v>2043</v>
      </c>
    </row>
    <row r="348" spans="1:27" x14ac:dyDescent="0.25">
      <c r="A348" s="8">
        <v>45950</v>
      </c>
      <c r="B348" s="6" t="s">
        <v>423</v>
      </c>
      <c r="C348" s="6" t="s">
        <v>1737</v>
      </c>
      <c r="D348" s="6" t="s">
        <v>36</v>
      </c>
      <c r="E348" s="6" t="str">
        <f>VLOOKUP(D348,'shipping inf'!B:D,2,FALSE)</f>
        <v>TP Hồ Chí Minh</v>
      </c>
      <c r="F348" s="6" t="s">
        <v>840</v>
      </c>
      <c r="G348" s="6">
        <v>90</v>
      </c>
      <c r="H348" s="6">
        <v>2510601201</v>
      </c>
      <c r="I348" s="6" t="s">
        <v>1359</v>
      </c>
      <c r="J348" s="6">
        <v>24</v>
      </c>
      <c r="K348" s="6">
        <v>36</v>
      </c>
      <c r="L348" s="6" t="s">
        <v>15</v>
      </c>
      <c r="M348" s="6" t="s">
        <v>37</v>
      </c>
      <c r="N348" s="6" t="str">
        <f>VLOOKUP(Table1[[#This Row],[elevator_traction_machine]],'Product inf'!A:B,2,FALSE)</f>
        <v>SP006</v>
      </c>
      <c r="O348" s="6" t="s">
        <v>8</v>
      </c>
      <c r="P348" s="6" t="s">
        <v>9</v>
      </c>
      <c r="Q348" s="6" t="s">
        <v>67</v>
      </c>
      <c r="R348" s="6" t="s">
        <v>68</v>
      </c>
      <c r="S348" s="6">
        <v>446000000</v>
      </c>
      <c r="U348" s="6">
        <v>446000000</v>
      </c>
      <c r="V348" s="6">
        <v>435300000</v>
      </c>
      <c r="X348" s="6">
        <v>15000000</v>
      </c>
      <c r="Y348" s="6">
        <v>8000000</v>
      </c>
      <c r="Z348" s="8">
        <v>45950</v>
      </c>
      <c r="AA348" s="6" t="s">
        <v>2316</v>
      </c>
    </row>
    <row r="349" spans="1:27" x14ac:dyDescent="0.25">
      <c r="A349" s="8">
        <v>45576</v>
      </c>
      <c r="B349" s="6" t="s">
        <v>204</v>
      </c>
      <c r="C349" s="6" t="s">
        <v>1738</v>
      </c>
      <c r="D349" s="6" t="s">
        <v>36</v>
      </c>
      <c r="E349" s="6" t="str">
        <f>VLOOKUP(D349,'shipping inf'!B:D,2,FALSE)</f>
        <v>TP Hồ Chí Minh</v>
      </c>
      <c r="F349" s="6" t="s">
        <v>841</v>
      </c>
      <c r="G349" s="6">
        <v>60</v>
      </c>
      <c r="H349" s="6">
        <v>2410601301</v>
      </c>
      <c r="I349" s="6" t="s">
        <v>1359</v>
      </c>
      <c r="J349" s="6">
        <v>24</v>
      </c>
      <c r="K349" s="6">
        <v>24</v>
      </c>
      <c r="L349" s="6" t="s">
        <v>19</v>
      </c>
      <c r="M349" s="6" t="s">
        <v>37</v>
      </c>
      <c r="N349" s="6" t="str">
        <f>VLOOKUP(Table1[[#This Row],[elevator_traction_machine]],'Product inf'!A:B,2,FALSE)</f>
        <v>SP006</v>
      </c>
      <c r="O349" s="6" t="s">
        <v>8</v>
      </c>
      <c r="P349" s="6" t="s">
        <v>9</v>
      </c>
      <c r="Q349" s="6" t="s">
        <v>67</v>
      </c>
      <c r="R349" s="6" t="s">
        <v>68</v>
      </c>
      <c r="S349" s="6">
        <v>615000000</v>
      </c>
      <c r="U349" s="6">
        <v>615000000</v>
      </c>
      <c r="V349" s="6">
        <v>538151000</v>
      </c>
      <c r="X349" s="6">
        <v>65000000</v>
      </c>
      <c r="Y349" s="6">
        <v>14000000</v>
      </c>
      <c r="Z349" s="8">
        <v>45579</v>
      </c>
      <c r="AA349" s="6" t="s">
        <v>2064</v>
      </c>
    </row>
    <row r="350" spans="1:27" x14ac:dyDescent="0.25">
      <c r="A350" s="8">
        <v>45838</v>
      </c>
      <c r="B350" s="6" t="s">
        <v>338</v>
      </c>
      <c r="C350" s="6" t="s">
        <v>1739</v>
      </c>
      <c r="D350" s="6" t="s">
        <v>36</v>
      </c>
      <c r="E350" s="6" t="str">
        <f>VLOOKUP(D350,'shipping inf'!B:D,2,FALSE)</f>
        <v>TP Hồ Chí Minh</v>
      </c>
      <c r="F350" s="6" t="s">
        <v>842</v>
      </c>
      <c r="G350" s="6">
        <v>150</v>
      </c>
      <c r="H350" s="6">
        <v>2510601301</v>
      </c>
      <c r="I350" s="6" t="s">
        <v>1359</v>
      </c>
      <c r="J350" s="6">
        <v>24</v>
      </c>
      <c r="K350" s="6">
        <v>24</v>
      </c>
      <c r="L350" s="6" t="s">
        <v>19</v>
      </c>
      <c r="M350" s="6" t="s">
        <v>37</v>
      </c>
      <c r="N350" s="6" t="str">
        <f>VLOOKUP(Table1[[#This Row],[elevator_traction_machine]],'Product inf'!A:B,2,FALSE)</f>
        <v>SP006</v>
      </c>
      <c r="O350" s="6" t="s">
        <v>3</v>
      </c>
      <c r="P350" s="6" t="s">
        <v>9</v>
      </c>
      <c r="Q350" s="6" t="s">
        <v>67</v>
      </c>
      <c r="R350" s="6" t="s">
        <v>68</v>
      </c>
      <c r="S350" s="6">
        <v>390000000</v>
      </c>
      <c r="U350" s="6">
        <v>390000000</v>
      </c>
      <c r="V350" s="6">
        <v>404700000</v>
      </c>
      <c r="Z350" s="8">
        <v>45838</v>
      </c>
      <c r="AA350" s="6" t="s">
        <v>2232</v>
      </c>
    </row>
    <row r="351" spans="1:27" x14ac:dyDescent="0.25">
      <c r="A351" s="8">
        <v>45565</v>
      </c>
      <c r="B351" s="6" t="s">
        <v>194</v>
      </c>
      <c r="C351" s="6" t="s">
        <v>1740</v>
      </c>
      <c r="D351" s="6" t="s">
        <v>35</v>
      </c>
      <c r="E351" s="6" t="str">
        <f>VLOOKUP(D351,'shipping inf'!B:D,2,FALSE)</f>
        <v>TP Hồ Chí Minh</v>
      </c>
      <c r="F351" s="6" t="s">
        <v>843</v>
      </c>
      <c r="G351" s="6">
        <v>75</v>
      </c>
      <c r="H351" s="6">
        <v>2410601401</v>
      </c>
      <c r="I351" s="6" t="s">
        <v>1359</v>
      </c>
      <c r="J351" s="6">
        <v>18</v>
      </c>
      <c r="K351" s="6">
        <v>18</v>
      </c>
      <c r="L351" s="6" t="s">
        <v>19</v>
      </c>
      <c r="M351" s="6" t="s">
        <v>37</v>
      </c>
      <c r="N351" s="6" t="str">
        <f>VLOOKUP(Table1[[#This Row],[elevator_traction_machine]],'Product inf'!A:B,2,FALSE)</f>
        <v>SP015</v>
      </c>
      <c r="O351" s="6" t="s">
        <v>3</v>
      </c>
      <c r="P351" s="6" t="s">
        <v>9</v>
      </c>
      <c r="Q351" s="6" t="s">
        <v>70</v>
      </c>
      <c r="R351" s="6" t="s">
        <v>68</v>
      </c>
      <c r="S351" s="6">
        <v>462000000</v>
      </c>
      <c r="T351" s="6">
        <v>36960000</v>
      </c>
      <c r="U351" s="6">
        <v>498960000</v>
      </c>
      <c r="V351" s="6">
        <v>457185000</v>
      </c>
      <c r="X351" s="6">
        <v>10000000</v>
      </c>
      <c r="Y351" s="6">
        <v>10000000</v>
      </c>
      <c r="Z351" s="8">
        <v>45566</v>
      </c>
      <c r="AA351" s="6" t="s">
        <v>2043</v>
      </c>
    </row>
    <row r="352" spans="1:27" x14ac:dyDescent="0.25">
      <c r="A352" s="8">
        <v>45825</v>
      </c>
      <c r="B352" s="6" t="s">
        <v>327</v>
      </c>
      <c r="C352" s="6" t="s">
        <v>1741</v>
      </c>
      <c r="D352" s="6" t="s">
        <v>39</v>
      </c>
      <c r="E352" s="6" t="str">
        <f>VLOOKUP(D352,'shipping inf'!B:D,2,FALSE)</f>
        <v>An Giang</v>
      </c>
      <c r="F352" s="6" t="s">
        <v>844</v>
      </c>
      <c r="G352" s="6">
        <v>75</v>
      </c>
      <c r="H352" s="6">
        <v>2510601401</v>
      </c>
      <c r="I352" s="6" t="s">
        <v>1359</v>
      </c>
      <c r="J352" s="6">
        <v>24</v>
      </c>
      <c r="K352" s="6">
        <v>24</v>
      </c>
      <c r="L352" s="6" t="s">
        <v>15</v>
      </c>
      <c r="M352" s="6" t="s">
        <v>37</v>
      </c>
      <c r="N352" s="6" t="str">
        <f>VLOOKUP(Table1[[#This Row],[elevator_traction_machine]],'Product inf'!A:B,2,FALSE)</f>
        <v>SP006</v>
      </c>
      <c r="O352" s="6" t="s">
        <v>3</v>
      </c>
      <c r="P352" s="6" t="s">
        <v>9</v>
      </c>
      <c r="Q352" s="6" t="s">
        <v>67</v>
      </c>
      <c r="R352" s="6" t="s">
        <v>68</v>
      </c>
      <c r="S352" s="6">
        <v>360000000</v>
      </c>
      <c r="U352" s="6">
        <v>360000000</v>
      </c>
      <c r="V352" s="6">
        <v>363000000</v>
      </c>
      <c r="X352" s="6">
        <v>15000000</v>
      </c>
      <c r="Y352" s="6">
        <v>6000000</v>
      </c>
      <c r="Z352" s="8">
        <v>45827</v>
      </c>
      <c r="AA352" s="6" t="s">
        <v>2232</v>
      </c>
    </row>
    <row r="353" spans="1:27" x14ac:dyDescent="0.25">
      <c r="A353" s="8">
        <v>45565</v>
      </c>
      <c r="B353" s="6" t="s">
        <v>196</v>
      </c>
      <c r="C353" s="6" t="s">
        <v>1742</v>
      </c>
      <c r="D353" s="6" t="s">
        <v>36</v>
      </c>
      <c r="E353" s="6" t="str">
        <f>VLOOKUP(D353,'shipping inf'!B:D,2,FALSE)</f>
        <v>TP Hồ Chí Minh</v>
      </c>
      <c r="F353" s="6" t="s">
        <v>845</v>
      </c>
      <c r="G353" s="6">
        <v>75</v>
      </c>
      <c r="H353" s="6">
        <v>2410601501</v>
      </c>
      <c r="I353" s="6" t="s">
        <v>1359</v>
      </c>
      <c r="J353" s="6">
        <v>24</v>
      </c>
      <c r="K353" s="6">
        <v>24</v>
      </c>
      <c r="L353" s="6" t="s">
        <v>15</v>
      </c>
      <c r="M353" s="6" t="s">
        <v>37</v>
      </c>
      <c r="N353" s="6" t="str">
        <f>VLOOKUP(Table1[[#This Row],[elevator_traction_machine]],'Product inf'!A:B,2,FALSE)</f>
        <v>SP015</v>
      </c>
      <c r="O353" s="6" t="s">
        <v>8</v>
      </c>
      <c r="P353" s="6" t="s">
        <v>9</v>
      </c>
      <c r="Q353" s="6" t="s">
        <v>70</v>
      </c>
      <c r="R353" s="6" t="s">
        <v>68</v>
      </c>
      <c r="S353" s="6">
        <v>472000000</v>
      </c>
      <c r="T353" s="6">
        <v>37760000</v>
      </c>
      <c r="U353" s="6">
        <v>509760000</v>
      </c>
      <c r="V353" s="6">
        <v>501620000</v>
      </c>
      <c r="Y353" s="6">
        <v>6000000</v>
      </c>
      <c r="Z353" s="8">
        <v>45573</v>
      </c>
      <c r="AA353" s="6" t="s">
        <v>2043</v>
      </c>
    </row>
    <row r="354" spans="1:27" x14ac:dyDescent="0.25">
      <c r="A354" s="8">
        <v>45827</v>
      </c>
      <c r="B354" s="6" t="s">
        <v>366</v>
      </c>
      <c r="C354" s="6" t="s">
        <v>1743</v>
      </c>
      <c r="D354" s="6" t="s">
        <v>36</v>
      </c>
      <c r="E354" s="6" t="str">
        <f>VLOOKUP(D354,'shipping inf'!B:D,2,FALSE)</f>
        <v>TP Hồ Chí Minh</v>
      </c>
      <c r="F354" s="6" t="s">
        <v>846</v>
      </c>
      <c r="G354" s="6">
        <v>90</v>
      </c>
      <c r="H354" s="6">
        <v>2510601501</v>
      </c>
      <c r="I354" s="6" t="s">
        <v>1359</v>
      </c>
      <c r="J354" s="6">
        <v>24</v>
      </c>
      <c r="K354" s="6">
        <v>24</v>
      </c>
      <c r="L354" s="6" t="s">
        <v>15</v>
      </c>
      <c r="M354" s="6" t="s">
        <v>37</v>
      </c>
      <c r="N354" s="6" t="str">
        <f>VLOOKUP(Table1[[#This Row],[elevator_traction_machine]],'Product inf'!A:B,2,FALSE)</f>
        <v>SP006</v>
      </c>
      <c r="O354" s="6" t="s">
        <v>3</v>
      </c>
      <c r="P354" s="6" t="s">
        <v>9</v>
      </c>
      <c r="Q354" s="6" t="s">
        <v>67</v>
      </c>
      <c r="R354" s="6" t="s">
        <v>68</v>
      </c>
      <c r="S354" s="6">
        <v>428000000</v>
      </c>
      <c r="U354" s="6">
        <v>428000000</v>
      </c>
      <c r="V354" s="6">
        <v>428000000</v>
      </c>
      <c r="X354" s="6">
        <v>20000000</v>
      </c>
      <c r="Y354" s="6">
        <v>6000000</v>
      </c>
      <c r="Z354" s="8">
        <v>45877</v>
      </c>
      <c r="AA354" s="6" t="s">
        <v>2232</v>
      </c>
    </row>
    <row r="355" spans="1:27" x14ac:dyDescent="0.25">
      <c r="A355" s="8">
        <v>45584</v>
      </c>
      <c r="B355" s="6" t="s">
        <v>211</v>
      </c>
      <c r="C355" s="6" t="s">
        <v>1744</v>
      </c>
      <c r="D355" s="6" t="s">
        <v>48</v>
      </c>
      <c r="E355" s="6" t="str">
        <f>VLOOKUP(D355,'shipping inf'!B:D,2,FALSE)</f>
        <v>Đồng Nai</v>
      </c>
      <c r="F355" s="6" t="s">
        <v>847</v>
      </c>
      <c r="G355" s="6">
        <v>60</v>
      </c>
      <c r="H355" s="6">
        <v>2410601601</v>
      </c>
      <c r="I355" s="6" t="s">
        <v>1359</v>
      </c>
      <c r="J355" s="6">
        <v>24</v>
      </c>
      <c r="K355" s="6">
        <v>24</v>
      </c>
      <c r="L355" s="6" t="s">
        <v>19</v>
      </c>
      <c r="M355" s="6" t="s">
        <v>37</v>
      </c>
      <c r="N355" s="6" t="str">
        <f>VLOOKUP(Table1[[#This Row],[elevator_traction_machine]],'Product inf'!A:B,2,FALSE)</f>
        <v>SP015</v>
      </c>
      <c r="O355" s="6" t="s">
        <v>8</v>
      </c>
      <c r="P355" s="6" t="s">
        <v>9</v>
      </c>
      <c r="Q355" s="6" t="s">
        <v>70</v>
      </c>
      <c r="R355" s="6" t="s">
        <v>68</v>
      </c>
      <c r="S355" s="6">
        <v>414000000</v>
      </c>
      <c r="U355" s="6">
        <v>414000000</v>
      </c>
      <c r="V355" s="6">
        <v>393500000</v>
      </c>
      <c r="X355" s="6">
        <v>20000000</v>
      </c>
      <c r="Y355" s="6">
        <v>10000000</v>
      </c>
      <c r="Z355" s="8">
        <v>45586</v>
      </c>
      <c r="AA355" s="6" t="s">
        <v>2064</v>
      </c>
    </row>
    <row r="356" spans="1:27" x14ac:dyDescent="0.25">
      <c r="A356" s="8">
        <v>45834</v>
      </c>
      <c r="B356" s="6" t="s">
        <v>334</v>
      </c>
      <c r="C356" s="6" t="s">
        <v>1745</v>
      </c>
      <c r="D356" s="6" t="s">
        <v>48</v>
      </c>
      <c r="E356" s="6" t="str">
        <f>VLOOKUP(D356,'shipping inf'!B:D,2,FALSE)</f>
        <v>Đồng Nai</v>
      </c>
      <c r="F356" s="6" t="s">
        <v>848</v>
      </c>
      <c r="G356" s="6">
        <v>120</v>
      </c>
      <c r="H356" s="6">
        <v>2510601601</v>
      </c>
      <c r="I356" s="6" t="s">
        <v>1359</v>
      </c>
      <c r="J356" s="6">
        <v>24</v>
      </c>
      <c r="K356" s="6">
        <v>36</v>
      </c>
      <c r="L356" s="6" t="s">
        <v>15</v>
      </c>
      <c r="M356" s="6" t="s">
        <v>37</v>
      </c>
      <c r="N356" s="6" t="str">
        <f>VLOOKUP(Table1[[#This Row],[elevator_traction_machine]],'Product inf'!A:B,2,FALSE)</f>
        <v>SP006</v>
      </c>
      <c r="O356" s="6" t="s">
        <v>3</v>
      </c>
      <c r="P356" s="6" t="s">
        <v>9</v>
      </c>
      <c r="Q356" s="6" t="s">
        <v>67</v>
      </c>
      <c r="R356" s="6" t="s">
        <v>68</v>
      </c>
      <c r="S356" s="6">
        <v>385000000</v>
      </c>
      <c r="U356" s="6">
        <v>385000000</v>
      </c>
      <c r="V356" s="6">
        <v>390200000</v>
      </c>
      <c r="W356" s="6">
        <v>5000000</v>
      </c>
      <c r="X356" s="6">
        <v>10000000</v>
      </c>
      <c r="Y356" s="6">
        <v>6000000</v>
      </c>
      <c r="Z356" s="8">
        <v>45835</v>
      </c>
      <c r="AA356" s="6" t="s">
        <v>2232</v>
      </c>
    </row>
    <row r="357" spans="1:27" x14ac:dyDescent="0.25">
      <c r="A357" s="8">
        <v>45860</v>
      </c>
      <c r="B357" s="6" t="s">
        <v>353</v>
      </c>
      <c r="C357" s="6" t="s">
        <v>1746</v>
      </c>
      <c r="D357" s="6" t="s">
        <v>36</v>
      </c>
      <c r="E357" s="6" t="str">
        <f>VLOOKUP(D357,'shipping inf'!B:D,2,FALSE)</f>
        <v>TP Hồ Chí Minh</v>
      </c>
      <c r="F357" s="6" t="s">
        <v>849</v>
      </c>
      <c r="G357" s="6">
        <v>90</v>
      </c>
      <c r="H357" s="6">
        <v>2510601701</v>
      </c>
      <c r="I357" s="6" t="s">
        <v>1359</v>
      </c>
      <c r="J357" s="6">
        <v>24</v>
      </c>
      <c r="K357" s="6">
        <v>36</v>
      </c>
      <c r="L357" s="6" t="s">
        <v>15</v>
      </c>
      <c r="M357" s="6" t="s">
        <v>37</v>
      </c>
      <c r="N357" s="6" t="str">
        <f>VLOOKUP(Table1[[#This Row],[elevator_traction_machine]],'Product inf'!A:B,2,FALSE)</f>
        <v>SP006</v>
      </c>
      <c r="O357" s="6" t="s">
        <v>8</v>
      </c>
      <c r="P357" s="6" t="s">
        <v>9</v>
      </c>
      <c r="Q357" s="6" t="s">
        <v>67</v>
      </c>
      <c r="R357" s="6" t="s">
        <v>68</v>
      </c>
      <c r="S357" s="6">
        <v>545000000</v>
      </c>
      <c r="U357" s="6">
        <v>545000000</v>
      </c>
      <c r="V357" s="6">
        <v>545000000</v>
      </c>
      <c r="X357" s="6">
        <v>15000000</v>
      </c>
      <c r="Y357" s="6">
        <v>8000000</v>
      </c>
      <c r="Z357" s="8">
        <v>45861</v>
      </c>
      <c r="AA357" s="6" t="s">
        <v>2253</v>
      </c>
    </row>
    <row r="358" spans="1:27" x14ac:dyDescent="0.25">
      <c r="A358" s="8">
        <v>45622</v>
      </c>
      <c r="B358" s="6" t="s">
        <v>233</v>
      </c>
      <c r="C358" s="6" t="s">
        <v>1747</v>
      </c>
      <c r="D358" s="6" t="s">
        <v>36</v>
      </c>
      <c r="E358" s="6" t="str">
        <f>VLOOKUP(D358,'shipping inf'!B:D,2,FALSE)</f>
        <v>TP Hồ Chí Minh</v>
      </c>
      <c r="F358" s="6" t="s">
        <v>850</v>
      </c>
      <c r="G358" s="6">
        <v>50</v>
      </c>
      <c r="H358" s="6">
        <v>2410601801</v>
      </c>
      <c r="I358" s="6" t="s">
        <v>1359</v>
      </c>
      <c r="J358" s="6">
        <v>24</v>
      </c>
      <c r="K358" s="6">
        <v>24</v>
      </c>
      <c r="L358" s="6" t="s">
        <v>19</v>
      </c>
      <c r="M358" s="6" t="s">
        <v>37</v>
      </c>
      <c r="N358" s="6" t="str">
        <f>VLOOKUP(Table1[[#This Row],[elevator_traction_machine]],'Product inf'!A:B,2,FALSE)</f>
        <v>SP006</v>
      </c>
      <c r="O358" s="6" t="s">
        <v>8</v>
      </c>
      <c r="P358" s="6" t="s">
        <v>9</v>
      </c>
      <c r="Q358" s="6" t="s">
        <v>67</v>
      </c>
      <c r="R358" s="6" t="s">
        <v>68</v>
      </c>
      <c r="S358" s="6">
        <v>530000000</v>
      </c>
      <c r="U358" s="6">
        <v>530000000</v>
      </c>
      <c r="V358" s="6">
        <v>533855000</v>
      </c>
      <c r="Y358" s="6">
        <v>10000000</v>
      </c>
      <c r="Z358" s="8">
        <v>45624</v>
      </c>
      <c r="AA358" s="6" t="s">
        <v>2085</v>
      </c>
    </row>
    <row r="359" spans="1:27" x14ac:dyDescent="0.25">
      <c r="A359" s="8">
        <v>45929</v>
      </c>
      <c r="B359" s="6" t="s">
        <v>395</v>
      </c>
      <c r="C359" s="6" t="s">
        <v>1748</v>
      </c>
      <c r="D359" s="6" t="s">
        <v>48</v>
      </c>
      <c r="E359" s="6" t="str">
        <f>VLOOKUP(D359,'shipping inf'!B:D,2,FALSE)</f>
        <v>Đồng Nai</v>
      </c>
      <c r="F359" s="6" t="s">
        <v>851</v>
      </c>
      <c r="G359" s="6">
        <v>60</v>
      </c>
      <c r="H359" s="6">
        <v>2510601801</v>
      </c>
      <c r="I359" s="6" t="s">
        <v>1359</v>
      </c>
      <c r="J359" s="6">
        <v>24</v>
      </c>
      <c r="K359" s="6">
        <v>24</v>
      </c>
      <c r="L359" s="6" t="s">
        <v>19</v>
      </c>
      <c r="M359" s="6" t="s">
        <v>37</v>
      </c>
      <c r="N359" s="6" t="str">
        <f>VLOOKUP(Table1[[#This Row],[elevator_traction_machine]],'Product inf'!A:B,2,FALSE)</f>
        <v>SP006</v>
      </c>
      <c r="O359" s="6" t="s">
        <v>8</v>
      </c>
      <c r="P359" s="6" t="s">
        <v>9</v>
      </c>
      <c r="Q359" s="6" t="s">
        <v>67</v>
      </c>
      <c r="R359" s="6" t="s">
        <v>68</v>
      </c>
      <c r="S359" s="6">
        <v>392000000</v>
      </c>
      <c r="U359" s="6">
        <v>392000000</v>
      </c>
      <c r="V359" s="6">
        <v>392500000</v>
      </c>
      <c r="X359" s="6">
        <v>5000000</v>
      </c>
      <c r="Y359" s="6">
        <v>10000000</v>
      </c>
      <c r="Z359" s="8">
        <v>45930</v>
      </c>
      <c r="AA359" s="6" t="s">
        <v>2295</v>
      </c>
    </row>
    <row r="360" spans="1:27" x14ac:dyDescent="0.25">
      <c r="A360" s="8">
        <v>45934</v>
      </c>
      <c r="B360" s="6" t="s">
        <v>401</v>
      </c>
      <c r="C360" s="6" t="s">
        <v>1749</v>
      </c>
      <c r="D360" s="6" t="s">
        <v>36</v>
      </c>
      <c r="E360" s="6" t="str">
        <f>VLOOKUP(D360,'shipping inf'!B:D,2,FALSE)</f>
        <v>TP Hồ Chí Minh</v>
      </c>
      <c r="F360" s="6" t="s">
        <v>852</v>
      </c>
      <c r="G360" s="6">
        <v>120</v>
      </c>
      <c r="H360" s="6">
        <v>2510601901</v>
      </c>
      <c r="I360" s="6" t="s">
        <v>1359</v>
      </c>
      <c r="J360" s="6">
        <v>24</v>
      </c>
      <c r="K360" s="6">
        <v>36</v>
      </c>
      <c r="L360" s="6" t="s">
        <v>15</v>
      </c>
      <c r="M360" s="6" t="s">
        <v>37</v>
      </c>
      <c r="N360" s="6" t="str">
        <f>VLOOKUP(Table1[[#This Row],[elevator_traction_machine]],'Product inf'!A:B,2,FALSE)</f>
        <v>SP006</v>
      </c>
      <c r="O360" s="6" t="s">
        <v>3</v>
      </c>
      <c r="P360" s="6" t="s">
        <v>9</v>
      </c>
      <c r="Q360" s="6" t="s">
        <v>67</v>
      </c>
      <c r="R360" s="6" t="s">
        <v>68</v>
      </c>
      <c r="S360" s="6">
        <v>366000000</v>
      </c>
      <c r="U360" s="6">
        <v>366000000</v>
      </c>
      <c r="V360" s="6">
        <v>370200000</v>
      </c>
      <c r="X360" s="6">
        <v>15000000</v>
      </c>
      <c r="Y360" s="6">
        <v>6000000</v>
      </c>
      <c r="Z360" s="8">
        <v>45934</v>
      </c>
      <c r="AA360" s="6" t="s">
        <v>2316</v>
      </c>
    </row>
    <row r="361" spans="1:27" x14ac:dyDescent="0.25">
      <c r="A361" s="8">
        <v>45930</v>
      </c>
      <c r="B361" s="6" t="s">
        <v>396</v>
      </c>
      <c r="C361" s="6" t="s">
        <v>1750</v>
      </c>
      <c r="D361" s="6" t="s">
        <v>36</v>
      </c>
      <c r="E361" s="6" t="str">
        <f>VLOOKUP(D361,'shipping inf'!B:D,2,FALSE)</f>
        <v>TP Hồ Chí Minh</v>
      </c>
      <c r="F361" s="6" t="s">
        <v>853</v>
      </c>
      <c r="G361" s="6">
        <v>150</v>
      </c>
      <c r="H361" s="6">
        <v>2510602001</v>
      </c>
      <c r="I361" s="6" t="s">
        <v>1359</v>
      </c>
      <c r="J361" s="6">
        <v>24</v>
      </c>
      <c r="K361" s="6">
        <v>24</v>
      </c>
      <c r="L361" s="6" t="s">
        <v>19</v>
      </c>
      <c r="M361" s="6" t="s">
        <v>37</v>
      </c>
      <c r="N361" s="6" t="str">
        <f>VLOOKUP(Table1[[#This Row],[elevator_traction_machine]],'Product inf'!A:B,2,FALSE)</f>
        <v>SP015</v>
      </c>
      <c r="O361" s="6" t="s">
        <v>3</v>
      </c>
      <c r="P361" s="6" t="s">
        <v>9</v>
      </c>
      <c r="Q361" s="6" t="s">
        <v>70</v>
      </c>
      <c r="R361" s="6" t="s">
        <v>68</v>
      </c>
      <c r="S361" s="6">
        <v>445000000</v>
      </c>
      <c r="U361" s="6">
        <v>445000000</v>
      </c>
      <c r="V361" s="6">
        <v>444000000</v>
      </c>
      <c r="X361" s="6">
        <v>22000000</v>
      </c>
      <c r="Y361" s="6">
        <v>10000000</v>
      </c>
      <c r="Z361" s="8">
        <v>45930</v>
      </c>
      <c r="AA361" s="6" t="s">
        <v>2295</v>
      </c>
    </row>
    <row r="362" spans="1:27" x14ac:dyDescent="0.25">
      <c r="A362" s="8">
        <v>45945</v>
      </c>
      <c r="B362" s="6" t="s">
        <v>415</v>
      </c>
      <c r="C362" s="6" t="s">
        <v>1751</v>
      </c>
      <c r="D362" s="6" t="s">
        <v>47</v>
      </c>
      <c r="E362" s="6" t="str">
        <f>VLOOKUP(D362,'shipping inf'!B:D,2,FALSE)</f>
        <v>Tây Ninh</v>
      </c>
      <c r="F362" s="6" t="s">
        <v>854</v>
      </c>
      <c r="G362" s="6">
        <v>75</v>
      </c>
      <c r="H362" s="6">
        <v>2510602101</v>
      </c>
      <c r="I362" s="6" t="s">
        <v>1359</v>
      </c>
      <c r="J362" s="6">
        <v>24</v>
      </c>
      <c r="K362" s="6">
        <v>36</v>
      </c>
      <c r="L362" s="6" t="s">
        <v>15</v>
      </c>
      <c r="M362" s="6" t="s">
        <v>37</v>
      </c>
      <c r="N362" s="6" t="str">
        <f>VLOOKUP(Table1[[#This Row],[elevator_traction_machine]],'Product inf'!A:B,2,FALSE)</f>
        <v>SP006</v>
      </c>
      <c r="O362" s="6" t="s">
        <v>8</v>
      </c>
      <c r="P362" s="6" t="s">
        <v>9</v>
      </c>
      <c r="Q362" s="6" t="s">
        <v>67</v>
      </c>
      <c r="R362" s="6" t="s">
        <v>68</v>
      </c>
      <c r="S362" s="6">
        <v>395000000</v>
      </c>
      <c r="U362" s="6">
        <v>395000000</v>
      </c>
      <c r="V362" s="6">
        <v>419000000</v>
      </c>
      <c r="Y362" s="6">
        <v>6000000</v>
      </c>
      <c r="Z362" s="8">
        <v>45946</v>
      </c>
      <c r="AA362" s="6" t="s">
        <v>2316</v>
      </c>
    </row>
    <row r="363" spans="1:27" x14ac:dyDescent="0.25">
      <c r="A363" s="8">
        <v>45945</v>
      </c>
      <c r="B363" s="6" t="s">
        <v>414</v>
      </c>
      <c r="C363" s="6" t="s">
        <v>1752</v>
      </c>
      <c r="D363" s="6" t="s">
        <v>47</v>
      </c>
      <c r="E363" s="6" t="str">
        <f>VLOOKUP(D363,'shipping inf'!B:D,2,FALSE)</f>
        <v>Tây Ninh</v>
      </c>
      <c r="F363" s="6" t="s">
        <v>854</v>
      </c>
      <c r="G363" s="6">
        <v>75</v>
      </c>
      <c r="H363" s="6">
        <v>2510602201</v>
      </c>
      <c r="I363" s="6" t="s">
        <v>1359</v>
      </c>
      <c r="J363" s="6">
        <v>24</v>
      </c>
      <c r="K363" s="6">
        <v>36</v>
      </c>
      <c r="L363" s="6" t="s">
        <v>15</v>
      </c>
      <c r="M363" s="6" t="s">
        <v>37</v>
      </c>
      <c r="N363" s="6" t="str">
        <f>VLOOKUP(Table1[[#This Row],[elevator_traction_machine]],'Product inf'!A:B,2,FALSE)</f>
        <v>SP006</v>
      </c>
      <c r="O363" s="6" t="s">
        <v>8</v>
      </c>
      <c r="P363" s="6" t="s">
        <v>4</v>
      </c>
      <c r="Q363" s="6" t="s">
        <v>67</v>
      </c>
      <c r="R363" s="6" t="s">
        <v>68</v>
      </c>
      <c r="S363" s="6">
        <v>395000000</v>
      </c>
      <c r="U363" s="6">
        <v>395000000</v>
      </c>
      <c r="V363" s="6">
        <v>419000000</v>
      </c>
      <c r="Y363" s="6">
        <v>6000000</v>
      </c>
      <c r="Z363" s="8">
        <v>45946</v>
      </c>
      <c r="AA363" s="6" t="s">
        <v>2316</v>
      </c>
    </row>
    <row r="364" spans="1:27" x14ac:dyDescent="0.25">
      <c r="A364" s="8">
        <v>45831</v>
      </c>
      <c r="B364" s="6" t="s">
        <v>329</v>
      </c>
      <c r="C364" s="6" t="s">
        <v>1753</v>
      </c>
      <c r="D364" s="6" t="s">
        <v>36</v>
      </c>
      <c r="E364" s="6" t="str">
        <f>VLOOKUP(D364,'shipping inf'!B:D,2,FALSE)</f>
        <v>TP Hồ Chí Minh</v>
      </c>
      <c r="F364" s="6" t="s">
        <v>855</v>
      </c>
      <c r="G364" s="6">
        <v>90</v>
      </c>
      <c r="H364" s="6">
        <v>2510700101</v>
      </c>
      <c r="I364" s="6" t="s">
        <v>1372</v>
      </c>
      <c r="J364" s="6">
        <v>24</v>
      </c>
      <c r="K364" s="6">
        <v>48</v>
      </c>
      <c r="L364" s="6" t="s">
        <v>15</v>
      </c>
      <c r="M364" s="6" t="s">
        <v>37</v>
      </c>
      <c r="N364" s="6" t="str">
        <f>VLOOKUP(Table1[[#This Row],[elevator_traction_machine]],'Product inf'!A:B,2,FALSE)</f>
        <v>SP006</v>
      </c>
      <c r="O364" s="6" t="s">
        <v>3</v>
      </c>
      <c r="P364" s="6" t="s">
        <v>9</v>
      </c>
      <c r="Q364" s="6" t="s">
        <v>67</v>
      </c>
      <c r="R364" s="6" t="s">
        <v>68</v>
      </c>
      <c r="S364" s="6">
        <v>351800000</v>
      </c>
      <c r="U364" s="6">
        <v>351800000</v>
      </c>
      <c r="V364" s="6">
        <v>340200000</v>
      </c>
      <c r="Y364" s="6">
        <v>6000000</v>
      </c>
      <c r="Z364" s="8">
        <v>45831</v>
      </c>
      <c r="AA364" s="6" t="s">
        <v>2245</v>
      </c>
    </row>
    <row r="365" spans="1:27" x14ac:dyDescent="0.25">
      <c r="A365" s="8">
        <v>45307</v>
      </c>
      <c r="B365" s="6" t="s">
        <v>79</v>
      </c>
      <c r="C365" s="6" t="s">
        <v>1754</v>
      </c>
      <c r="D365" s="6" t="s">
        <v>36</v>
      </c>
      <c r="E365" s="6" t="str">
        <f>VLOOKUP(D365,'shipping inf'!B:D,2,FALSE)</f>
        <v>TP Hồ Chí Minh</v>
      </c>
      <c r="F365" s="6" t="s">
        <v>856</v>
      </c>
      <c r="G365" s="6">
        <v>50</v>
      </c>
      <c r="H365" s="6">
        <v>2410700201</v>
      </c>
      <c r="I365" s="6" t="s">
        <v>1363</v>
      </c>
      <c r="J365" s="6">
        <v>24</v>
      </c>
      <c r="K365" s="6">
        <v>12</v>
      </c>
      <c r="L365" s="6" t="s">
        <v>19</v>
      </c>
      <c r="M365" s="6" t="s">
        <v>37</v>
      </c>
      <c r="N365" s="6" t="str">
        <f>VLOOKUP(Table1[[#This Row],[elevator_traction_machine]],'Product inf'!A:B,2,FALSE)</f>
        <v>SP015</v>
      </c>
      <c r="O365" s="6" t="s">
        <v>3</v>
      </c>
      <c r="P365" s="6" t="s">
        <v>9</v>
      </c>
      <c r="Q365" s="6" t="s">
        <v>70</v>
      </c>
      <c r="R365" s="6" t="s">
        <v>68</v>
      </c>
      <c r="S365" s="6">
        <v>403000000</v>
      </c>
      <c r="T365" s="6">
        <v>32240000</v>
      </c>
      <c r="U365" s="6">
        <v>435240000</v>
      </c>
      <c r="X365" s="6">
        <v>8000000</v>
      </c>
      <c r="Y365" s="6">
        <v>6000000</v>
      </c>
      <c r="Z365" s="8">
        <v>45341</v>
      </c>
      <c r="AA365" s="6" t="s">
        <v>1879</v>
      </c>
    </row>
    <row r="366" spans="1:27" x14ac:dyDescent="0.25">
      <c r="A366" s="8">
        <v>45854</v>
      </c>
      <c r="B366" s="6" t="s">
        <v>349</v>
      </c>
      <c r="C366" s="6" t="s">
        <v>1755</v>
      </c>
      <c r="D366" s="6" t="s">
        <v>36</v>
      </c>
      <c r="E366" s="6" t="str">
        <f>VLOOKUP(D366,'shipping inf'!B:D,2,FALSE)</f>
        <v>TP Hồ Chí Minh</v>
      </c>
      <c r="F366" s="6" t="s">
        <v>857</v>
      </c>
      <c r="G366" s="6">
        <v>120</v>
      </c>
      <c r="H366" s="6">
        <v>2510700201</v>
      </c>
      <c r="I366" s="6" t="s">
        <v>1372</v>
      </c>
      <c r="J366" s="6">
        <v>24</v>
      </c>
      <c r="K366" s="6">
        <v>24</v>
      </c>
      <c r="L366" s="6" t="s">
        <v>19</v>
      </c>
      <c r="M366" s="6" t="s">
        <v>37</v>
      </c>
      <c r="N366" s="6" t="str">
        <f>VLOOKUP(Table1[[#This Row],[elevator_traction_machine]],'Product inf'!A:B,2,FALSE)</f>
        <v>SP006</v>
      </c>
      <c r="O366" s="6" t="s">
        <v>3</v>
      </c>
      <c r="P366" s="6" t="s">
        <v>9</v>
      </c>
      <c r="Q366" s="6" t="s">
        <v>67</v>
      </c>
      <c r="R366" s="6" t="s">
        <v>267</v>
      </c>
      <c r="S366" s="6">
        <v>375000000</v>
      </c>
      <c r="U366" s="6">
        <v>375000000</v>
      </c>
      <c r="V366" s="6">
        <v>375015000</v>
      </c>
      <c r="X366" s="6">
        <v>8000000</v>
      </c>
      <c r="Y366" s="6">
        <v>10000000</v>
      </c>
      <c r="Z366" s="8">
        <v>45854</v>
      </c>
      <c r="AA366" s="6" t="s">
        <v>2266</v>
      </c>
    </row>
    <row r="367" spans="1:27" x14ac:dyDescent="0.25">
      <c r="A367" s="8">
        <v>45875</v>
      </c>
      <c r="B367" s="6" t="s">
        <v>370</v>
      </c>
      <c r="C367" s="6" t="s">
        <v>1756</v>
      </c>
      <c r="D367" s="6" t="s">
        <v>36</v>
      </c>
      <c r="E367" s="6" t="str">
        <f>VLOOKUP(D367,'shipping inf'!B:D,2,FALSE)</f>
        <v>TP Hồ Chí Minh</v>
      </c>
      <c r="F367" s="6" t="s">
        <v>858</v>
      </c>
      <c r="G367" s="6">
        <v>60</v>
      </c>
      <c r="H367" s="6">
        <v>2510700301</v>
      </c>
      <c r="I367" s="6" t="s">
        <v>1372</v>
      </c>
      <c r="J367" s="6">
        <v>24</v>
      </c>
      <c r="K367" s="6">
        <v>12</v>
      </c>
      <c r="L367" s="6" t="s">
        <v>19</v>
      </c>
      <c r="M367" s="6" t="s">
        <v>37</v>
      </c>
      <c r="N367" s="6" t="str">
        <f>VLOOKUP(Table1[[#This Row],[elevator_traction_machine]],'Product inf'!A:B,2,FALSE)</f>
        <v>SP006</v>
      </c>
      <c r="O367" s="6" t="s">
        <v>3</v>
      </c>
      <c r="P367" s="6" t="s">
        <v>9</v>
      </c>
      <c r="Q367" s="6" t="s">
        <v>67</v>
      </c>
      <c r="R367" s="6" t="s">
        <v>68</v>
      </c>
      <c r="S367" s="6">
        <v>371000000</v>
      </c>
      <c r="U367" s="6">
        <v>371000000</v>
      </c>
      <c r="V367" s="6">
        <v>377500000</v>
      </c>
      <c r="X367" s="6">
        <v>10000000</v>
      </c>
      <c r="Y367" s="6">
        <v>6000000</v>
      </c>
      <c r="Z367" s="8">
        <v>45882</v>
      </c>
      <c r="AA367" s="6" t="s">
        <v>2287</v>
      </c>
    </row>
    <row r="368" spans="1:27" x14ac:dyDescent="0.25">
      <c r="A368" s="8">
        <v>45295</v>
      </c>
      <c r="B368" s="6" t="s">
        <v>72</v>
      </c>
      <c r="C368" s="6" t="s">
        <v>1757</v>
      </c>
      <c r="D368" s="6" t="s">
        <v>38</v>
      </c>
      <c r="E368" s="6" t="str">
        <f>VLOOKUP(D368,'shipping inf'!B:D,2,FALSE)</f>
        <v>An Giang</v>
      </c>
      <c r="F368" s="6" t="s">
        <v>859</v>
      </c>
      <c r="G368" s="6">
        <v>75</v>
      </c>
      <c r="H368" s="6">
        <v>2410700401</v>
      </c>
      <c r="I368" s="6" t="s">
        <v>1363</v>
      </c>
      <c r="J368" s="6">
        <v>24</v>
      </c>
      <c r="K368" s="6">
        <v>12</v>
      </c>
      <c r="L368" s="6" t="s">
        <v>19</v>
      </c>
      <c r="M368" s="6" t="s">
        <v>37</v>
      </c>
      <c r="N368" s="6" t="str">
        <f>VLOOKUP(Table1[[#This Row],[elevator_traction_machine]],'Product inf'!A:B,2,FALSE)</f>
        <v>SP015</v>
      </c>
      <c r="O368" s="6" t="s">
        <v>3</v>
      </c>
      <c r="P368" s="6" t="s">
        <v>4</v>
      </c>
      <c r="Q368" s="6" t="s">
        <v>70</v>
      </c>
      <c r="R368" s="6" t="s">
        <v>68</v>
      </c>
      <c r="S368" s="6">
        <v>545000000</v>
      </c>
      <c r="U368" s="6">
        <v>545000000</v>
      </c>
      <c r="V368" s="6">
        <v>579520000</v>
      </c>
      <c r="X368" s="6">
        <v>20000000</v>
      </c>
      <c r="Y368" s="6">
        <v>6000000</v>
      </c>
      <c r="Z368" s="8">
        <v>45302</v>
      </c>
      <c r="AA368" s="6" t="s">
        <v>1879</v>
      </c>
    </row>
    <row r="369" spans="1:27" x14ac:dyDescent="0.25">
      <c r="A369" s="8">
        <v>45930</v>
      </c>
      <c r="B369" s="6" t="s">
        <v>394</v>
      </c>
      <c r="C369" s="6" t="s">
        <v>1758</v>
      </c>
      <c r="D369" s="6" t="s">
        <v>36</v>
      </c>
      <c r="E369" s="6" t="str">
        <f>VLOOKUP(D369,'shipping inf'!B:D,2,FALSE)</f>
        <v>TP Hồ Chí Minh</v>
      </c>
      <c r="F369" s="6" t="s">
        <v>1285</v>
      </c>
      <c r="G369" s="6">
        <v>90</v>
      </c>
      <c r="H369" s="6">
        <v>2510700501</v>
      </c>
      <c r="I369" s="6" t="s">
        <v>1372</v>
      </c>
      <c r="J369" s="6">
        <v>24</v>
      </c>
      <c r="K369" s="6">
        <v>36</v>
      </c>
      <c r="L369" s="6" t="s">
        <v>15</v>
      </c>
      <c r="M369" s="6" t="s">
        <v>37</v>
      </c>
      <c r="N369" s="6" t="str">
        <f>VLOOKUP(Table1[[#This Row],[elevator_traction_machine]],'Product inf'!A:B,2,FALSE)</f>
        <v>SP006</v>
      </c>
      <c r="O369" s="6" t="s">
        <v>8</v>
      </c>
      <c r="P369" s="6" t="s">
        <v>9</v>
      </c>
      <c r="Q369" s="6" t="s">
        <v>67</v>
      </c>
      <c r="R369" s="6" t="s">
        <v>68</v>
      </c>
      <c r="S369" s="6">
        <v>525200000</v>
      </c>
      <c r="U369" s="6">
        <v>525200000</v>
      </c>
      <c r="V369" s="6">
        <v>525100000</v>
      </c>
      <c r="X369" s="6">
        <v>15000000</v>
      </c>
      <c r="Y369" s="6">
        <v>8000000</v>
      </c>
      <c r="Z369" s="8">
        <v>45930</v>
      </c>
      <c r="AA369" s="6" t="s">
        <v>2308</v>
      </c>
    </row>
    <row r="370" spans="1:27" x14ac:dyDescent="0.25">
      <c r="A370" s="8">
        <v>45979</v>
      </c>
      <c r="B370" s="6" t="s">
        <v>446</v>
      </c>
      <c r="C370" s="6" t="s">
        <v>1759</v>
      </c>
      <c r="D370" s="6" t="s">
        <v>36</v>
      </c>
      <c r="E370" s="6" t="str">
        <f>VLOOKUP(D370,'shipping inf'!B:D,2,FALSE)</f>
        <v>TP Hồ Chí Minh</v>
      </c>
      <c r="F370" s="6" t="s">
        <v>1286</v>
      </c>
      <c r="G370" s="6">
        <v>90</v>
      </c>
      <c r="H370" s="6">
        <v>2510700801</v>
      </c>
      <c r="I370" s="6" t="s">
        <v>1372</v>
      </c>
      <c r="J370" s="6">
        <v>12</v>
      </c>
      <c r="K370" s="6">
        <v>12</v>
      </c>
      <c r="L370" s="6" t="s">
        <v>15</v>
      </c>
      <c r="M370" s="6" t="s">
        <v>37</v>
      </c>
      <c r="N370" s="6" t="str">
        <f>VLOOKUP(Table1[[#This Row],[elevator_traction_machine]],'Product inf'!A:B,2,FALSE)</f>
        <v>SP006</v>
      </c>
      <c r="O370" s="6" t="s">
        <v>3</v>
      </c>
      <c r="P370" s="6" t="s">
        <v>9</v>
      </c>
      <c r="Q370" s="6" t="s">
        <v>67</v>
      </c>
      <c r="R370" s="6" t="s">
        <v>68</v>
      </c>
      <c r="S370" s="6">
        <v>356000000</v>
      </c>
      <c r="U370" s="6">
        <v>356000000</v>
      </c>
      <c r="V370" s="6">
        <v>366000000</v>
      </c>
      <c r="Y370" s="6">
        <v>8000000</v>
      </c>
      <c r="Z370" s="8">
        <v>45980</v>
      </c>
      <c r="AA370" s="6" t="s">
        <v>2350</v>
      </c>
    </row>
    <row r="371" spans="1:27" x14ac:dyDescent="0.25">
      <c r="A371" s="8">
        <v>45306</v>
      </c>
      <c r="B371" s="6" t="s">
        <v>73</v>
      </c>
      <c r="C371" s="6" t="s">
        <v>1760</v>
      </c>
      <c r="D371" s="6" t="s">
        <v>36</v>
      </c>
      <c r="E371" s="6" t="str">
        <f>VLOOKUP(D371,'shipping inf'!B:D,2,FALSE)</f>
        <v>TP Hồ Chí Minh</v>
      </c>
      <c r="F371" s="6" t="s">
        <v>1287</v>
      </c>
      <c r="G371" s="6">
        <v>60</v>
      </c>
      <c r="H371" s="6">
        <v>2410800101</v>
      </c>
      <c r="I371" s="6" t="s">
        <v>1360</v>
      </c>
      <c r="J371" s="6">
        <v>24</v>
      </c>
      <c r="K371" s="6">
        <v>24</v>
      </c>
      <c r="L371" s="6" t="s">
        <v>15</v>
      </c>
      <c r="M371" s="6" t="s">
        <v>37</v>
      </c>
      <c r="N371" s="6" t="str">
        <f>VLOOKUP(Table1[[#This Row],[elevator_traction_machine]],'Product inf'!A:B,2,FALSE)</f>
        <v>SP015</v>
      </c>
      <c r="O371" s="6" t="s">
        <v>3</v>
      </c>
      <c r="P371" s="6" t="s">
        <v>9</v>
      </c>
      <c r="Q371" s="6" t="s">
        <v>70</v>
      </c>
      <c r="R371" s="6" t="s">
        <v>68</v>
      </c>
      <c r="S371" s="6">
        <v>350000000</v>
      </c>
      <c r="U371" s="6">
        <v>350000000</v>
      </c>
      <c r="Y371" s="6">
        <v>6000000</v>
      </c>
      <c r="Z371" s="8">
        <v>45306</v>
      </c>
      <c r="AA371" s="6" t="s">
        <v>1876</v>
      </c>
    </row>
    <row r="372" spans="1:27" x14ac:dyDescent="0.25">
      <c r="A372" s="8">
        <v>45674</v>
      </c>
      <c r="B372" s="6" t="s">
        <v>260</v>
      </c>
      <c r="C372" s="6" t="s">
        <v>1761</v>
      </c>
      <c r="D372" s="6" t="s">
        <v>36</v>
      </c>
      <c r="E372" s="6" t="str">
        <f>VLOOKUP(D372,'shipping inf'!B:D,2,FALSE)</f>
        <v>TP Hồ Chí Minh</v>
      </c>
      <c r="F372" s="6" t="s">
        <v>1288</v>
      </c>
      <c r="G372" s="6">
        <v>120</v>
      </c>
      <c r="H372" s="6">
        <v>2510800101</v>
      </c>
      <c r="I372" s="6" t="s">
        <v>1360</v>
      </c>
      <c r="J372" s="6">
        <v>24</v>
      </c>
      <c r="K372" s="6">
        <v>24</v>
      </c>
      <c r="L372" s="6" t="s">
        <v>19</v>
      </c>
      <c r="M372" s="6" t="s">
        <v>37</v>
      </c>
      <c r="N372" s="6" t="str">
        <f>VLOOKUP(Table1[[#This Row],[elevator_traction_machine]],'Product inf'!A:B,2,FALSE)</f>
        <v>SP015</v>
      </c>
      <c r="O372" s="6" t="s">
        <v>8</v>
      </c>
      <c r="P372" s="6" t="s">
        <v>9</v>
      </c>
      <c r="Q372" s="6" t="s">
        <v>70</v>
      </c>
      <c r="R372" s="6" t="s">
        <v>68</v>
      </c>
      <c r="S372" s="6">
        <v>560000000</v>
      </c>
      <c r="U372" s="6">
        <v>560000000</v>
      </c>
      <c r="V372" s="6">
        <v>557350000</v>
      </c>
      <c r="X372" s="6">
        <v>25000000</v>
      </c>
      <c r="Y372" s="6">
        <v>12000000</v>
      </c>
      <c r="Z372" s="8">
        <v>45709</v>
      </c>
      <c r="AA372" s="6" t="s">
        <v>2128</v>
      </c>
    </row>
    <row r="373" spans="1:27" x14ac:dyDescent="0.25">
      <c r="A373" s="8">
        <v>46062</v>
      </c>
      <c r="B373" s="6" t="s">
        <v>490</v>
      </c>
      <c r="C373" s="6" t="s">
        <v>1762</v>
      </c>
      <c r="D373" s="6" t="s">
        <v>36</v>
      </c>
      <c r="E373" s="6" t="str">
        <f>VLOOKUP(D373,'shipping inf'!B:D,2,FALSE)</f>
        <v>TP Hồ Chí Minh</v>
      </c>
      <c r="F373" s="6" t="s">
        <v>1289</v>
      </c>
      <c r="G373" s="6">
        <v>105</v>
      </c>
      <c r="H373" s="6">
        <v>2610800101</v>
      </c>
      <c r="I373" s="6" t="s">
        <v>1360</v>
      </c>
      <c r="J373" s="6">
        <v>24</v>
      </c>
      <c r="K373" s="6">
        <v>24</v>
      </c>
      <c r="L373" s="6" t="s">
        <v>19</v>
      </c>
      <c r="M373" s="6" t="s">
        <v>37</v>
      </c>
      <c r="N373" s="6" t="str">
        <f>VLOOKUP(Table1[[#This Row],[elevator_traction_machine]],'Product inf'!A:B,2,FALSE)</f>
        <v>SP015</v>
      </c>
      <c r="O373" s="6" t="s">
        <v>8</v>
      </c>
      <c r="P373" s="6" t="s">
        <v>9</v>
      </c>
      <c r="Q373" s="6" t="s">
        <v>70</v>
      </c>
      <c r="R373" s="6" t="s">
        <v>68</v>
      </c>
      <c r="S373" s="6">
        <v>400000000</v>
      </c>
      <c r="U373" s="6">
        <v>400000000</v>
      </c>
      <c r="V373" s="6">
        <v>407500000</v>
      </c>
      <c r="X373" s="6">
        <v>15000000</v>
      </c>
      <c r="Y373" s="6">
        <v>6000000</v>
      </c>
      <c r="Z373" s="8">
        <v>46062</v>
      </c>
      <c r="AA373" s="6" t="s">
        <v>2401</v>
      </c>
    </row>
    <row r="374" spans="1:27" x14ac:dyDescent="0.25">
      <c r="A374" s="8">
        <v>45366</v>
      </c>
      <c r="B374" s="6" t="s">
        <v>84</v>
      </c>
      <c r="C374" s="6" t="s">
        <v>1763</v>
      </c>
      <c r="D374" s="6" t="s">
        <v>36</v>
      </c>
      <c r="E374" s="6" t="str">
        <f>VLOOKUP(D374,'shipping inf'!B:D,2,FALSE)</f>
        <v>TP Hồ Chí Minh</v>
      </c>
      <c r="F374" s="6" t="s">
        <v>1290</v>
      </c>
      <c r="G374" s="6">
        <v>75</v>
      </c>
      <c r="H374" s="6">
        <v>2410800201</v>
      </c>
      <c r="I374" s="6" t="s">
        <v>1360</v>
      </c>
      <c r="J374" s="6">
        <v>24</v>
      </c>
      <c r="K374" s="6">
        <v>24</v>
      </c>
      <c r="L374" s="6" t="s">
        <v>19</v>
      </c>
      <c r="M374" s="6" t="s">
        <v>37</v>
      </c>
      <c r="N374" s="6" t="str">
        <f>VLOOKUP(Table1[[#This Row],[elevator_traction_machine]],'Product inf'!A:B,2,FALSE)</f>
        <v>SP015</v>
      </c>
      <c r="O374" s="6" t="s">
        <v>8</v>
      </c>
      <c r="P374" s="6" t="s">
        <v>9</v>
      </c>
      <c r="Q374" s="6" t="s">
        <v>70</v>
      </c>
      <c r="R374" s="6" t="s">
        <v>68</v>
      </c>
      <c r="S374" s="6">
        <v>660000000</v>
      </c>
      <c r="U374" s="6">
        <v>660000000</v>
      </c>
      <c r="X374" s="6">
        <v>10000000</v>
      </c>
      <c r="Y374" s="6">
        <v>10000000</v>
      </c>
      <c r="Z374" s="8">
        <v>45365</v>
      </c>
      <c r="AA374" s="6" t="s">
        <v>1918</v>
      </c>
    </row>
    <row r="375" spans="1:27" x14ac:dyDescent="0.25">
      <c r="A375" s="8">
        <v>45701</v>
      </c>
      <c r="B375" s="6" t="s">
        <v>257</v>
      </c>
      <c r="C375" s="6" t="s">
        <v>1764</v>
      </c>
      <c r="D375" s="6" t="s">
        <v>36</v>
      </c>
      <c r="E375" s="6" t="str">
        <f>VLOOKUP(D375,'shipping inf'!B:D,2,FALSE)</f>
        <v>TP Hồ Chí Minh</v>
      </c>
      <c r="F375" s="6" t="s">
        <v>1291</v>
      </c>
      <c r="G375" s="6">
        <v>150</v>
      </c>
      <c r="H375" s="6">
        <v>2510800201</v>
      </c>
      <c r="I375" s="6" t="s">
        <v>1360</v>
      </c>
      <c r="J375" s="6">
        <v>24</v>
      </c>
      <c r="K375" s="6">
        <v>24</v>
      </c>
      <c r="L375" s="6" t="s">
        <v>15</v>
      </c>
      <c r="M375" s="6" t="s">
        <v>37</v>
      </c>
      <c r="N375" s="6" t="str">
        <f>VLOOKUP(Table1[[#This Row],[elevator_traction_machine]],'Product inf'!A:B,2,FALSE)</f>
        <v>SP015</v>
      </c>
      <c r="O375" s="6" t="s">
        <v>8</v>
      </c>
      <c r="P375" s="6" t="s">
        <v>9</v>
      </c>
      <c r="Q375" s="6" t="s">
        <v>70</v>
      </c>
      <c r="R375" s="6" t="s">
        <v>68</v>
      </c>
      <c r="S375" s="6">
        <v>620000000</v>
      </c>
      <c r="U375" s="6">
        <v>620000000</v>
      </c>
      <c r="V375" s="6">
        <v>634558000</v>
      </c>
      <c r="X375" s="6">
        <v>0</v>
      </c>
      <c r="Y375" s="6">
        <v>8000000</v>
      </c>
      <c r="Z375" s="8">
        <v>45702</v>
      </c>
      <c r="AA375" s="6" t="s">
        <v>2149</v>
      </c>
    </row>
    <row r="376" spans="1:27" x14ac:dyDescent="0.25">
      <c r="A376" s="8">
        <v>46106</v>
      </c>
      <c r="B376" s="6" t="s">
        <v>503</v>
      </c>
      <c r="C376" s="6" t="s">
        <v>1765</v>
      </c>
      <c r="D376" s="6" t="s">
        <v>36</v>
      </c>
      <c r="E376" s="6" t="str">
        <f>VLOOKUP(D376,'shipping inf'!B:D,2,FALSE)</f>
        <v>TP Hồ Chí Minh</v>
      </c>
      <c r="F376" s="6" t="s">
        <v>1292</v>
      </c>
      <c r="G376" s="6">
        <v>75</v>
      </c>
      <c r="H376" s="6">
        <v>2610800201</v>
      </c>
      <c r="I376" s="6" t="s">
        <v>1360</v>
      </c>
      <c r="J376" s="6">
        <v>24</v>
      </c>
      <c r="K376" s="6">
        <v>24</v>
      </c>
      <c r="L376" s="6" t="s">
        <v>19</v>
      </c>
      <c r="M376" s="6" t="s">
        <v>37</v>
      </c>
      <c r="N376" s="6" t="str">
        <f>VLOOKUP(Table1[[#This Row],[elevator_traction_machine]],'Product inf'!A:B,2,FALSE)</f>
        <v>SP006</v>
      </c>
      <c r="O376" s="6" t="s">
        <v>8</v>
      </c>
      <c r="P376" s="6" t="s">
        <v>9</v>
      </c>
      <c r="Q376" s="6" t="s">
        <v>67</v>
      </c>
      <c r="R376" s="6" t="s">
        <v>68</v>
      </c>
      <c r="S376" s="6">
        <v>360000000</v>
      </c>
      <c r="U376" s="6">
        <v>360000000</v>
      </c>
      <c r="V376" s="6">
        <v>344000000</v>
      </c>
      <c r="X376" s="6">
        <v>15000000</v>
      </c>
      <c r="Y376" s="6">
        <v>10000000</v>
      </c>
      <c r="Z376" s="8">
        <v>46106</v>
      </c>
      <c r="AA376" s="6" t="s">
        <v>2422</v>
      </c>
    </row>
    <row r="377" spans="1:27" x14ac:dyDescent="0.25">
      <c r="A377" s="8">
        <v>45371</v>
      </c>
      <c r="B377" s="6" t="s">
        <v>89</v>
      </c>
      <c r="C377" s="6" t="s">
        <v>1766</v>
      </c>
      <c r="D377" s="6" t="s">
        <v>36</v>
      </c>
      <c r="E377" s="6" t="str">
        <f>VLOOKUP(D377,'shipping inf'!B:D,2,FALSE)</f>
        <v>TP Hồ Chí Minh</v>
      </c>
      <c r="F377" s="6" t="s">
        <v>1293</v>
      </c>
      <c r="G377" s="6">
        <v>75</v>
      </c>
      <c r="H377" s="6">
        <v>2410800301</v>
      </c>
      <c r="I377" s="6" t="s">
        <v>1360</v>
      </c>
      <c r="J377" s="6">
        <v>24</v>
      </c>
      <c r="K377" s="6">
        <v>24</v>
      </c>
      <c r="L377" s="6" t="s">
        <v>15</v>
      </c>
      <c r="M377" s="6" t="s">
        <v>37</v>
      </c>
      <c r="N377" s="6" t="str">
        <f>VLOOKUP(Table1[[#This Row],[elevator_traction_machine]],'Product inf'!A:B,2,FALSE)</f>
        <v>SP015</v>
      </c>
      <c r="O377" s="6" t="s">
        <v>8</v>
      </c>
      <c r="P377" s="6" t="s">
        <v>9</v>
      </c>
      <c r="Q377" s="6" t="s">
        <v>70</v>
      </c>
      <c r="R377" s="6" t="s">
        <v>68</v>
      </c>
      <c r="S377" s="6">
        <v>495000000</v>
      </c>
      <c r="U377" s="6">
        <v>495000000</v>
      </c>
      <c r="Y377" s="6">
        <v>8000000</v>
      </c>
      <c r="Z377" s="8">
        <v>45372</v>
      </c>
      <c r="AA377" s="6" t="s">
        <v>1918</v>
      </c>
    </row>
    <row r="378" spans="1:27" x14ac:dyDescent="0.25">
      <c r="A378" s="8">
        <v>45713</v>
      </c>
      <c r="B378" s="6" t="s">
        <v>262</v>
      </c>
      <c r="C378" s="6" t="s">
        <v>1767</v>
      </c>
      <c r="D378" s="6" t="s">
        <v>36</v>
      </c>
      <c r="E378" s="6" t="str">
        <f>VLOOKUP(D378,'shipping inf'!B:D,2,FALSE)</f>
        <v>TP Hồ Chí Minh</v>
      </c>
      <c r="F378" s="6" t="s">
        <v>1294</v>
      </c>
      <c r="G378" s="6">
        <v>70</v>
      </c>
      <c r="H378" s="6">
        <v>2510800301</v>
      </c>
      <c r="I378" s="6" t="s">
        <v>1360</v>
      </c>
      <c r="J378" s="6">
        <v>24</v>
      </c>
      <c r="K378" s="6">
        <v>24</v>
      </c>
      <c r="L378" s="6" t="s">
        <v>19</v>
      </c>
      <c r="M378" s="6" t="s">
        <v>37</v>
      </c>
      <c r="N378" s="6" t="str">
        <f>VLOOKUP(Table1[[#This Row],[elevator_traction_machine]],'Product inf'!A:B,2,FALSE)</f>
        <v>SP001</v>
      </c>
      <c r="O378" s="6" t="s">
        <v>3</v>
      </c>
      <c r="P378" s="6" t="s">
        <v>9</v>
      </c>
      <c r="Q378" s="6" t="s">
        <v>252</v>
      </c>
      <c r="R378" s="6" t="s">
        <v>68</v>
      </c>
      <c r="S378" s="6">
        <v>338000000</v>
      </c>
      <c r="U378" s="6">
        <v>338000000</v>
      </c>
      <c r="V378" s="6">
        <v>336000000</v>
      </c>
      <c r="X378" s="6">
        <v>10000000</v>
      </c>
      <c r="Y378" s="6">
        <v>10000000</v>
      </c>
      <c r="Z378" s="8">
        <v>45714</v>
      </c>
      <c r="AA378" s="6" t="s">
        <v>2149</v>
      </c>
    </row>
    <row r="379" spans="1:27" x14ac:dyDescent="0.25">
      <c r="A379" s="8">
        <v>45737</v>
      </c>
      <c r="B379" s="6" t="s">
        <v>283</v>
      </c>
      <c r="C379" s="6" t="s">
        <v>1768</v>
      </c>
      <c r="D379" s="6" t="s">
        <v>36</v>
      </c>
      <c r="E379" s="6" t="str">
        <f>VLOOKUP(D379,'shipping inf'!B:D,2,FALSE)</f>
        <v>TP Hồ Chí Minh</v>
      </c>
      <c r="F379" s="6" t="s">
        <v>1295</v>
      </c>
      <c r="G379" s="6">
        <v>150</v>
      </c>
      <c r="H379" s="6">
        <v>2510800401</v>
      </c>
      <c r="I379" s="6" t="s">
        <v>1360</v>
      </c>
      <c r="J379" s="6">
        <v>24</v>
      </c>
      <c r="K379" s="6">
        <v>24</v>
      </c>
      <c r="L379" s="6" t="s">
        <v>19</v>
      </c>
      <c r="M379" s="6" t="s">
        <v>37</v>
      </c>
      <c r="N379" s="6" t="str">
        <f>VLOOKUP(Table1[[#This Row],[elevator_traction_machine]],'Product inf'!A:B,2,FALSE)</f>
        <v>SP015</v>
      </c>
      <c r="O379" s="6" t="s">
        <v>3</v>
      </c>
      <c r="P379" s="6" t="s">
        <v>9</v>
      </c>
      <c r="Q379" s="6" t="s">
        <v>70</v>
      </c>
      <c r="R379" s="6" t="s">
        <v>68</v>
      </c>
      <c r="S379" s="6">
        <v>465000000</v>
      </c>
      <c r="U379" s="6">
        <v>465000000</v>
      </c>
      <c r="V379" s="6">
        <v>464820000</v>
      </c>
      <c r="X379" s="6">
        <v>15000000</v>
      </c>
      <c r="Y379" s="6">
        <v>10000000</v>
      </c>
      <c r="Z379" s="8">
        <v>45741</v>
      </c>
      <c r="AA379" s="6" t="s">
        <v>2170</v>
      </c>
    </row>
    <row r="380" spans="1:27" x14ac:dyDescent="0.25">
      <c r="A380" s="8">
        <v>45427</v>
      </c>
      <c r="B380" s="6" t="s">
        <v>108</v>
      </c>
      <c r="C380" s="6" t="s">
        <v>1769</v>
      </c>
      <c r="D380" s="6" t="s">
        <v>42</v>
      </c>
      <c r="E380" s="6" t="str">
        <f>VLOOKUP(D380,'shipping inf'!B:D,2,FALSE)</f>
        <v>TP Hồ Chí Minh</v>
      </c>
      <c r="F380" s="6" t="s">
        <v>1296</v>
      </c>
      <c r="G380" s="6">
        <v>70</v>
      </c>
      <c r="H380" s="6">
        <v>2410800501</v>
      </c>
      <c r="I380" s="6" t="s">
        <v>1360</v>
      </c>
      <c r="J380" s="6">
        <v>24</v>
      </c>
      <c r="K380" s="6">
        <v>24</v>
      </c>
      <c r="L380" s="6" t="s">
        <v>15</v>
      </c>
      <c r="M380" s="6" t="s">
        <v>37</v>
      </c>
      <c r="N380" s="6" t="str">
        <f>VLOOKUP(Table1[[#This Row],[elevator_traction_machine]],'Product inf'!A:B,2,FALSE)</f>
        <v>SP015</v>
      </c>
      <c r="O380" s="6" t="s">
        <v>3</v>
      </c>
      <c r="P380" s="6" t="s">
        <v>9</v>
      </c>
      <c r="Q380" s="6" t="s">
        <v>70</v>
      </c>
      <c r="R380" s="6" t="s">
        <v>68</v>
      </c>
      <c r="S380" s="6">
        <v>375000000</v>
      </c>
      <c r="U380" s="6">
        <v>375000000</v>
      </c>
      <c r="V380" s="6">
        <v>391800000</v>
      </c>
      <c r="Y380" s="6">
        <v>6000000</v>
      </c>
      <c r="Z380" s="8">
        <v>45427</v>
      </c>
      <c r="AA380" s="6" t="s">
        <v>1960</v>
      </c>
    </row>
    <row r="381" spans="1:27" x14ac:dyDescent="0.25">
      <c r="A381" s="8">
        <v>45428</v>
      </c>
      <c r="B381" s="6" t="s">
        <v>110</v>
      </c>
      <c r="C381" s="6" t="s">
        <v>1770</v>
      </c>
      <c r="D381" s="6" t="s">
        <v>36</v>
      </c>
      <c r="E381" s="6" t="str">
        <f>VLOOKUP(D381,'shipping inf'!B:D,2,FALSE)</f>
        <v>TP Hồ Chí Minh</v>
      </c>
      <c r="F381" s="6" t="s">
        <v>1297</v>
      </c>
      <c r="G381" s="6">
        <v>90</v>
      </c>
      <c r="H381" s="6">
        <v>2410800601</v>
      </c>
      <c r="I381" s="6" t="s">
        <v>1360</v>
      </c>
      <c r="J381" s="6">
        <v>24</v>
      </c>
      <c r="K381" s="6">
        <v>24</v>
      </c>
      <c r="L381" s="6" t="s">
        <v>15</v>
      </c>
      <c r="M381" s="6" t="s">
        <v>37</v>
      </c>
      <c r="N381" s="6" t="str">
        <f>VLOOKUP(Table1[[#This Row],[elevator_traction_machine]],'Product inf'!A:B,2,FALSE)</f>
        <v>SP015</v>
      </c>
      <c r="O381" s="6" t="s">
        <v>8</v>
      </c>
      <c r="P381" s="6" t="s">
        <v>9</v>
      </c>
      <c r="Q381" s="6" t="s">
        <v>70</v>
      </c>
      <c r="R381" s="6" t="s">
        <v>68</v>
      </c>
      <c r="S381" s="6">
        <v>500000000</v>
      </c>
      <c r="U381" s="6">
        <v>500000000</v>
      </c>
      <c r="Y381" s="6">
        <v>8000000</v>
      </c>
      <c r="Z381" s="8">
        <v>45429</v>
      </c>
      <c r="AA381" s="6" t="s">
        <v>1960</v>
      </c>
    </row>
    <row r="382" spans="1:27" x14ac:dyDescent="0.25">
      <c r="A382" s="8">
        <v>45831</v>
      </c>
      <c r="B382" s="6" t="s">
        <v>330</v>
      </c>
      <c r="C382" s="6" t="s">
        <v>1771</v>
      </c>
      <c r="D382" s="6" t="s">
        <v>36</v>
      </c>
      <c r="E382" s="6" t="str">
        <f>VLOOKUP(D382,'shipping inf'!B:D,2,FALSE)</f>
        <v>TP Hồ Chí Minh</v>
      </c>
      <c r="F382" s="6" t="s">
        <v>1298</v>
      </c>
      <c r="G382" s="6">
        <v>70</v>
      </c>
      <c r="H382" s="6">
        <v>2510800601</v>
      </c>
      <c r="I382" s="6" t="s">
        <v>1360</v>
      </c>
      <c r="J382" s="6">
        <v>24</v>
      </c>
      <c r="K382" s="6">
        <v>24</v>
      </c>
      <c r="L382" s="6" t="s">
        <v>19</v>
      </c>
      <c r="M382" s="6" t="s">
        <v>37</v>
      </c>
      <c r="N382" s="6" t="str">
        <f>VLOOKUP(Table1[[#This Row],[elevator_traction_machine]],'Product inf'!A:B,2,FALSE)</f>
        <v>SP006</v>
      </c>
      <c r="O382" s="6" t="s">
        <v>3</v>
      </c>
      <c r="P382" s="6" t="s">
        <v>9</v>
      </c>
      <c r="Q382" s="6" t="s">
        <v>67</v>
      </c>
      <c r="R382" s="6" t="s">
        <v>68</v>
      </c>
      <c r="S382" s="6">
        <v>400000000</v>
      </c>
      <c r="U382" s="6">
        <v>400000000</v>
      </c>
      <c r="V382" s="6">
        <v>416000000</v>
      </c>
      <c r="W382" s="6">
        <v>20000000</v>
      </c>
      <c r="Y382" s="6">
        <v>10000000</v>
      </c>
      <c r="Z382" s="8">
        <v>45831</v>
      </c>
      <c r="AA382" s="6" t="s">
        <v>2233</v>
      </c>
    </row>
    <row r="383" spans="1:27" x14ac:dyDescent="0.25">
      <c r="A383" s="8">
        <v>45429</v>
      </c>
      <c r="B383" s="6" t="s">
        <v>112</v>
      </c>
      <c r="C383" s="6" t="s">
        <v>1772</v>
      </c>
      <c r="D383" s="6" t="s">
        <v>36</v>
      </c>
      <c r="E383" s="6" t="str">
        <f>VLOOKUP(D383,'shipping inf'!B:D,2,FALSE)</f>
        <v>TP Hồ Chí Minh</v>
      </c>
      <c r="F383" s="6" t="s">
        <v>1299</v>
      </c>
      <c r="G383" s="6">
        <v>120</v>
      </c>
      <c r="H383" s="6">
        <v>2410800701</v>
      </c>
      <c r="I383" s="6" t="s">
        <v>1360</v>
      </c>
      <c r="J383" s="6">
        <v>24</v>
      </c>
      <c r="K383" s="6">
        <v>24</v>
      </c>
      <c r="L383" s="6" t="s">
        <v>19</v>
      </c>
      <c r="M383" s="6" t="s">
        <v>37</v>
      </c>
      <c r="N383" s="6" t="str">
        <f>VLOOKUP(Table1[[#This Row],[elevator_traction_machine]],'Product inf'!A:B,2,FALSE)</f>
        <v>SP015</v>
      </c>
      <c r="O383" s="6" t="s">
        <v>3</v>
      </c>
      <c r="P383" s="6" t="s">
        <v>9</v>
      </c>
      <c r="Q383" s="6" t="s">
        <v>70</v>
      </c>
      <c r="R383" s="6" t="s">
        <v>68</v>
      </c>
      <c r="S383" s="6">
        <v>434000000</v>
      </c>
      <c r="U383" s="6">
        <v>434000000</v>
      </c>
      <c r="X383" s="6">
        <v>20000000</v>
      </c>
      <c r="Y383" s="6">
        <v>10000000</v>
      </c>
      <c r="Z383" s="8">
        <v>45432</v>
      </c>
      <c r="AA383" s="6" t="s">
        <v>1960</v>
      </c>
    </row>
    <row r="384" spans="1:27" x14ac:dyDescent="0.25">
      <c r="A384" s="8">
        <v>45836</v>
      </c>
      <c r="B384" s="6" t="s">
        <v>339</v>
      </c>
      <c r="C384" s="6" t="s">
        <v>1773</v>
      </c>
      <c r="D384" s="6" t="s">
        <v>36</v>
      </c>
      <c r="E384" s="6" t="str">
        <f>VLOOKUP(D384,'shipping inf'!B:D,2,FALSE)</f>
        <v>TP Hồ Chí Minh</v>
      </c>
      <c r="F384" s="6" t="s">
        <v>1300</v>
      </c>
      <c r="G384" s="6">
        <v>75</v>
      </c>
      <c r="H384" s="6">
        <v>2510800701</v>
      </c>
      <c r="I384" s="6" t="s">
        <v>1360</v>
      </c>
      <c r="J384" s="6">
        <v>24</v>
      </c>
      <c r="K384" s="6">
        <v>24</v>
      </c>
      <c r="L384" s="6" t="s">
        <v>19</v>
      </c>
      <c r="M384" s="6" t="s">
        <v>37</v>
      </c>
      <c r="N384" s="6" t="str">
        <f>VLOOKUP(Table1[[#This Row],[elevator_traction_machine]],'Product inf'!A:B,2,FALSE)</f>
        <v>SP015</v>
      </c>
      <c r="O384" s="6" t="s">
        <v>3</v>
      </c>
      <c r="P384" s="6" t="s">
        <v>9</v>
      </c>
      <c r="Q384" s="6" t="s">
        <v>70</v>
      </c>
      <c r="R384" s="6" t="s">
        <v>68</v>
      </c>
      <c r="S384" s="6">
        <v>520000000</v>
      </c>
      <c r="U384" s="6">
        <v>520000000</v>
      </c>
      <c r="V384" s="6">
        <v>519800000</v>
      </c>
      <c r="X384" s="6">
        <v>30000000</v>
      </c>
      <c r="Y384" s="6">
        <v>12000000</v>
      </c>
      <c r="Z384" s="8">
        <v>45838</v>
      </c>
      <c r="AA384" s="6" t="s">
        <v>2233</v>
      </c>
    </row>
    <row r="385" spans="1:27" x14ac:dyDescent="0.25">
      <c r="A385" s="8">
        <v>45883</v>
      </c>
      <c r="B385" s="6" t="s">
        <v>372</v>
      </c>
      <c r="C385" s="6" t="s">
        <v>1774</v>
      </c>
      <c r="D385" s="6" t="s">
        <v>36</v>
      </c>
      <c r="E385" s="6" t="str">
        <f>VLOOKUP(D385,'shipping inf'!B:D,2,FALSE)</f>
        <v>TP Hồ Chí Minh</v>
      </c>
      <c r="F385" s="6" t="s">
        <v>1301</v>
      </c>
      <c r="G385" s="6">
        <v>90</v>
      </c>
      <c r="H385" s="6">
        <v>2510800801</v>
      </c>
      <c r="I385" s="6" t="s">
        <v>1360</v>
      </c>
      <c r="J385" s="6">
        <v>24</v>
      </c>
      <c r="K385" s="6">
        <v>12</v>
      </c>
      <c r="L385" s="6" t="s">
        <v>19</v>
      </c>
      <c r="M385" s="6" t="s">
        <v>37</v>
      </c>
      <c r="N385" s="6" t="str">
        <f>VLOOKUP(Table1[[#This Row],[elevator_traction_machine]],'Product inf'!A:B,2,FALSE)</f>
        <v>SP015</v>
      </c>
      <c r="O385" s="6" t="s">
        <v>3</v>
      </c>
      <c r="P385" s="6" t="s">
        <v>9</v>
      </c>
      <c r="Q385" s="6" t="s">
        <v>70</v>
      </c>
      <c r="R385" s="6" t="s">
        <v>68</v>
      </c>
      <c r="S385" s="6">
        <v>385000000</v>
      </c>
      <c r="U385" s="6">
        <v>385000000</v>
      </c>
      <c r="V385" s="6">
        <v>383000000</v>
      </c>
      <c r="X385" s="6">
        <v>10000000</v>
      </c>
      <c r="Y385" s="6">
        <v>10000000</v>
      </c>
      <c r="Z385" s="8">
        <v>45888</v>
      </c>
      <c r="AA385" s="6" t="s">
        <v>2275</v>
      </c>
    </row>
    <row r="386" spans="1:27" x14ac:dyDescent="0.25">
      <c r="A386" s="8">
        <v>45435</v>
      </c>
      <c r="B386" s="6" t="s">
        <v>119</v>
      </c>
      <c r="C386" s="6" t="s">
        <v>1775</v>
      </c>
      <c r="D386" s="6" t="s">
        <v>44</v>
      </c>
      <c r="E386" s="6" t="str">
        <f>VLOOKUP(D386,'shipping inf'!B:D,2,FALSE)</f>
        <v>Lâm Đồng</v>
      </c>
      <c r="F386" s="6" t="s">
        <v>1302</v>
      </c>
      <c r="G386" s="6">
        <v>75</v>
      </c>
      <c r="H386" s="6">
        <v>2410800901</v>
      </c>
      <c r="I386" s="6" t="s">
        <v>1360</v>
      </c>
      <c r="J386" s="6">
        <v>24</v>
      </c>
      <c r="K386" s="6">
        <v>24</v>
      </c>
      <c r="L386" s="6" t="s">
        <v>19</v>
      </c>
      <c r="M386" s="6" t="s">
        <v>37</v>
      </c>
      <c r="N386" s="6" t="str">
        <f>VLOOKUP(Table1[[#This Row],[elevator_traction_machine]],'Product inf'!A:B,2,FALSE)</f>
        <v>SP006</v>
      </c>
      <c r="O386" s="6" t="s">
        <v>3</v>
      </c>
      <c r="P386" s="6" t="s">
        <v>9</v>
      </c>
      <c r="Q386" s="6" t="s">
        <v>67</v>
      </c>
      <c r="R386" s="6" t="s">
        <v>68</v>
      </c>
      <c r="S386" s="6">
        <v>400000000</v>
      </c>
      <c r="U386" s="6">
        <v>400000000</v>
      </c>
      <c r="Y386" s="6">
        <v>6000000</v>
      </c>
      <c r="Z386" s="8">
        <v>45440</v>
      </c>
      <c r="AA386" s="6" t="s">
        <v>1960</v>
      </c>
    </row>
    <row r="387" spans="1:27" x14ac:dyDescent="0.25">
      <c r="A387" s="8">
        <v>45929</v>
      </c>
      <c r="B387" s="6" t="s">
        <v>393</v>
      </c>
      <c r="C387" s="6" t="s">
        <v>1776</v>
      </c>
      <c r="D387" s="6" t="s">
        <v>36</v>
      </c>
      <c r="E387" s="6" t="str">
        <f>VLOOKUP(D387,'shipping inf'!B:D,2,FALSE)</f>
        <v>TP Hồ Chí Minh</v>
      </c>
      <c r="F387" s="6" t="s">
        <v>1303</v>
      </c>
      <c r="G387" s="6">
        <v>120</v>
      </c>
      <c r="H387" s="6">
        <v>2510800901</v>
      </c>
      <c r="I387" s="6" t="s">
        <v>1360</v>
      </c>
      <c r="J387" s="6">
        <v>24</v>
      </c>
      <c r="K387" s="6">
        <v>24</v>
      </c>
      <c r="L387" s="6" t="s">
        <v>15</v>
      </c>
      <c r="M387" s="6" t="s">
        <v>37</v>
      </c>
      <c r="N387" s="6" t="str">
        <f>VLOOKUP(Table1[[#This Row],[elevator_traction_machine]],'Product inf'!A:B,2,FALSE)</f>
        <v>SP015</v>
      </c>
      <c r="O387" s="6" t="s">
        <v>3</v>
      </c>
      <c r="P387" s="6" t="s">
        <v>9</v>
      </c>
      <c r="Q387" s="6" t="s">
        <v>70</v>
      </c>
      <c r="R387" s="6" t="s">
        <v>68</v>
      </c>
      <c r="S387" s="6">
        <v>370000000</v>
      </c>
      <c r="U387" s="6">
        <v>370000000</v>
      </c>
      <c r="V387" s="6">
        <v>375200000</v>
      </c>
      <c r="X387" s="6">
        <v>15000000</v>
      </c>
      <c r="Y387" s="6">
        <v>6000000</v>
      </c>
      <c r="Z387" s="8">
        <v>45929</v>
      </c>
      <c r="AA387" s="6" t="s">
        <v>2296</v>
      </c>
    </row>
    <row r="388" spans="1:27" x14ac:dyDescent="0.25">
      <c r="A388" s="8">
        <v>45441</v>
      </c>
      <c r="B388" s="6" t="s">
        <v>120</v>
      </c>
      <c r="C388" s="6" t="s">
        <v>1777</v>
      </c>
      <c r="D388" s="6" t="s">
        <v>36</v>
      </c>
      <c r="E388" s="6" t="str">
        <f>VLOOKUP(D388,'shipping inf'!B:D,2,FALSE)</f>
        <v>TP Hồ Chí Minh</v>
      </c>
      <c r="F388" s="6" t="s">
        <v>1304</v>
      </c>
      <c r="G388" s="6">
        <v>120</v>
      </c>
      <c r="H388" s="6">
        <v>2410801001</v>
      </c>
      <c r="I388" s="6" t="s">
        <v>1360</v>
      </c>
      <c r="J388" s="6">
        <v>24</v>
      </c>
      <c r="K388" s="6">
        <v>24</v>
      </c>
      <c r="L388" s="6" t="s">
        <v>19</v>
      </c>
      <c r="M388" s="6" t="s">
        <v>37</v>
      </c>
      <c r="N388" s="6" t="str">
        <f>VLOOKUP(Table1[[#This Row],[elevator_traction_machine]],'Product inf'!A:B,2,FALSE)</f>
        <v>SP015</v>
      </c>
      <c r="O388" s="6" t="s">
        <v>3</v>
      </c>
      <c r="P388" s="6" t="s">
        <v>9</v>
      </c>
      <c r="Q388" s="6" t="s">
        <v>70</v>
      </c>
      <c r="R388" s="6" t="s">
        <v>68</v>
      </c>
      <c r="S388" s="6">
        <v>366000000</v>
      </c>
      <c r="U388" s="6">
        <v>366000000</v>
      </c>
      <c r="X388" s="6">
        <v>10000000</v>
      </c>
      <c r="Y388" s="6">
        <v>8000000</v>
      </c>
      <c r="Z388" s="8">
        <v>45442</v>
      </c>
      <c r="AA388" s="6" t="s">
        <v>1960</v>
      </c>
    </row>
    <row r="389" spans="1:27" x14ac:dyDescent="0.25">
      <c r="A389" s="8">
        <v>45899</v>
      </c>
      <c r="B389" s="6" t="s">
        <v>383</v>
      </c>
      <c r="C389" s="6" t="s">
        <v>1778</v>
      </c>
      <c r="D389" s="6" t="s">
        <v>36</v>
      </c>
      <c r="E389" s="6" t="str">
        <f>VLOOKUP(D389,'shipping inf'!B:D,2,FALSE)</f>
        <v>TP Hồ Chí Minh</v>
      </c>
      <c r="F389" s="6" t="s">
        <v>1305</v>
      </c>
      <c r="G389" s="6">
        <v>50</v>
      </c>
      <c r="H389" s="6">
        <v>2510801001</v>
      </c>
      <c r="I389" s="6" t="s">
        <v>1360</v>
      </c>
      <c r="J389" s="6">
        <v>24</v>
      </c>
      <c r="K389" s="6">
        <v>24</v>
      </c>
      <c r="L389" s="6" t="s">
        <v>19</v>
      </c>
      <c r="M389" s="6" t="s">
        <v>37</v>
      </c>
      <c r="N389" s="6" t="str">
        <f>VLOOKUP(Table1[[#This Row],[elevator_traction_machine]],'Product inf'!A:B,2,FALSE)</f>
        <v>SP015</v>
      </c>
      <c r="O389" s="6" t="s">
        <v>3</v>
      </c>
      <c r="P389" s="6" t="s">
        <v>9</v>
      </c>
      <c r="Q389" s="6" t="s">
        <v>70</v>
      </c>
      <c r="R389" s="6" t="s">
        <v>68</v>
      </c>
      <c r="S389" s="6">
        <v>384000000</v>
      </c>
      <c r="U389" s="6">
        <v>384000000</v>
      </c>
      <c r="V389" s="6">
        <v>384000000</v>
      </c>
      <c r="X389" s="6">
        <v>18000000</v>
      </c>
      <c r="Y389" s="6">
        <v>10000000</v>
      </c>
      <c r="Z389" s="8">
        <v>45903</v>
      </c>
      <c r="AA389" s="6" t="s">
        <v>2275</v>
      </c>
    </row>
    <row r="390" spans="1:27" x14ac:dyDescent="0.25">
      <c r="A390" s="8">
        <v>45489</v>
      </c>
      <c r="B390" s="6" t="s">
        <v>149</v>
      </c>
      <c r="C390" s="6" t="s">
        <v>1779</v>
      </c>
      <c r="D390" s="6" t="s">
        <v>36</v>
      </c>
      <c r="E390" s="6" t="str">
        <f>VLOOKUP(D390,'shipping inf'!B:D,2,FALSE)</f>
        <v>TP Hồ Chí Minh</v>
      </c>
      <c r="F390" s="6" t="s">
        <v>1306</v>
      </c>
      <c r="G390" s="6">
        <v>120</v>
      </c>
      <c r="H390" s="6">
        <v>2410801101</v>
      </c>
      <c r="I390" s="6" t="s">
        <v>1360</v>
      </c>
      <c r="J390" s="6">
        <v>24</v>
      </c>
      <c r="K390" s="6">
        <v>24</v>
      </c>
      <c r="L390" s="6" t="s">
        <v>15</v>
      </c>
      <c r="M390" s="6" t="s">
        <v>37</v>
      </c>
      <c r="N390" s="6" t="str">
        <f>VLOOKUP(Table1[[#This Row],[elevator_traction_machine]],'Product inf'!A:B,2,FALSE)</f>
        <v>SP006</v>
      </c>
      <c r="O390" s="6" t="s">
        <v>3</v>
      </c>
      <c r="P390" s="6" t="s">
        <v>9</v>
      </c>
      <c r="Q390" s="6" t="s">
        <v>67</v>
      </c>
      <c r="R390" s="6" t="s">
        <v>68</v>
      </c>
      <c r="S390" s="6">
        <v>395000000</v>
      </c>
      <c r="U390" s="6">
        <v>395000000</v>
      </c>
      <c r="Y390" s="6">
        <v>6000000</v>
      </c>
      <c r="Z390" s="8">
        <v>45491</v>
      </c>
      <c r="AA390" s="6" t="s">
        <v>2002</v>
      </c>
    </row>
    <row r="391" spans="1:27" x14ac:dyDescent="0.25">
      <c r="A391" s="8">
        <v>45937</v>
      </c>
      <c r="B391" s="6" t="s">
        <v>402</v>
      </c>
      <c r="C391" s="6" t="s">
        <v>1780</v>
      </c>
      <c r="D391" s="6" t="s">
        <v>36</v>
      </c>
      <c r="E391" s="6" t="str">
        <f>VLOOKUP(D391,'shipping inf'!B:D,2,FALSE)</f>
        <v>TP Hồ Chí Minh</v>
      </c>
      <c r="F391" s="6" t="s">
        <v>1307</v>
      </c>
      <c r="G391" s="6">
        <v>240</v>
      </c>
      <c r="H391" s="6">
        <v>2510801101</v>
      </c>
      <c r="I391" s="6" t="s">
        <v>1360</v>
      </c>
      <c r="J391" s="6">
        <v>24</v>
      </c>
      <c r="K391" s="6">
        <v>24</v>
      </c>
      <c r="L391" s="6" t="s">
        <v>15</v>
      </c>
      <c r="M391" s="6" t="s">
        <v>37</v>
      </c>
      <c r="N391" s="6" t="str">
        <f>VLOOKUP(Table1[[#This Row],[elevator_traction_machine]],'Product inf'!A:B,2,FALSE)</f>
        <v>SP006</v>
      </c>
      <c r="O391" s="6" t="s">
        <v>3</v>
      </c>
      <c r="P391" s="6" t="s">
        <v>9</v>
      </c>
      <c r="Q391" s="6" t="s">
        <v>67</v>
      </c>
      <c r="R391" s="6" t="s">
        <v>68</v>
      </c>
      <c r="S391" s="6">
        <v>390000000</v>
      </c>
      <c r="U391" s="6">
        <v>390000000</v>
      </c>
      <c r="V391" s="6">
        <v>404000000</v>
      </c>
      <c r="X391" s="6">
        <v>5000000</v>
      </c>
      <c r="Y391" s="6">
        <v>6000000</v>
      </c>
      <c r="Z391" s="8">
        <v>45937</v>
      </c>
      <c r="AA391" s="6" t="s">
        <v>2317</v>
      </c>
    </row>
    <row r="392" spans="1:27" x14ac:dyDescent="0.25">
      <c r="A392" s="8">
        <v>45526</v>
      </c>
      <c r="B392" s="6" t="s">
        <v>175</v>
      </c>
      <c r="C392" s="6" t="s">
        <v>1781</v>
      </c>
      <c r="D392" s="6" t="s">
        <v>36</v>
      </c>
      <c r="E392" s="6" t="str">
        <f>VLOOKUP(D392,'shipping inf'!B:D,2,FALSE)</f>
        <v>TP Hồ Chí Minh</v>
      </c>
      <c r="F392" s="6" t="s">
        <v>1308</v>
      </c>
      <c r="G392" s="6">
        <v>120</v>
      </c>
      <c r="H392" s="6">
        <v>2410801201</v>
      </c>
      <c r="I392" s="6" t="s">
        <v>1360</v>
      </c>
      <c r="J392" s="6">
        <v>24</v>
      </c>
      <c r="K392" s="6">
        <v>24</v>
      </c>
      <c r="L392" s="6" t="s">
        <v>15</v>
      </c>
      <c r="M392" s="6" t="s">
        <v>37</v>
      </c>
      <c r="N392" s="6" t="str">
        <f>VLOOKUP(Table1[[#This Row],[elevator_traction_machine]],'Product inf'!A:B,2,FALSE)</f>
        <v>SP015</v>
      </c>
      <c r="O392" s="6" t="s">
        <v>8</v>
      </c>
      <c r="P392" s="6" t="s">
        <v>9</v>
      </c>
      <c r="Q392" s="6" t="s">
        <v>70</v>
      </c>
      <c r="R392" s="6" t="s">
        <v>68</v>
      </c>
      <c r="S392" s="6">
        <v>457000000</v>
      </c>
      <c r="U392" s="6">
        <v>457000000</v>
      </c>
      <c r="V392" s="6">
        <v>482400000</v>
      </c>
      <c r="Y392" s="6">
        <v>6000000</v>
      </c>
      <c r="Z392" s="8">
        <v>45526</v>
      </c>
      <c r="AA392" s="6" t="s">
        <v>2023</v>
      </c>
    </row>
    <row r="393" spans="1:27" x14ac:dyDescent="0.25">
      <c r="A393" s="8">
        <v>45937</v>
      </c>
      <c r="B393" s="6" t="s">
        <v>403</v>
      </c>
      <c r="C393" s="6" t="s">
        <v>1782</v>
      </c>
      <c r="D393" s="6" t="s">
        <v>36</v>
      </c>
      <c r="E393" s="6" t="str">
        <f>VLOOKUP(D393,'shipping inf'!B:D,2,FALSE)</f>
        <v>TP Hồ Chí Minh</v>
      </c>
      <c r="F393" s="6" t="s">
        <v>1309</v>
      </c>
      <c r="G393" s="6">
        <v>240</v>
      </c>
      <c r="H393" s="6">
        <v>2510801201</v>
      </c>
      <c r="I393" s="6" t="s">
        <v>1360</v>
      </c>
      <c r="J393" s="6">
        <v>24</v>
      </c>
      <c r="K393" s="6">
        <v>24</v>
      </c>
      <c r="L393" s="6" t="s">
        <v>19</v>
      </c>
      <c r="M393" s="6" t="s">
        <v>37</v>
      </c>
      <c r="N393" s="6" t="str">
        <f>VLOOKUP(Table1[[#This Row],[elevator_traction_machine]],'Product inf'!A:B,2,FALSE)</f>
        <v>SP006</v>
      </c>
      <c r="O393" s="6" t="s">
        <v>3</v>
      </c>
      <c r="P393" s="6" t="s">
        <v>9</v>
      </c>
      <c r="Q393" s="6" t="s">
        <v>67</v>
      </c>
      <c r="R393" s="6" t="s">
        <v>68</v>
      </c>
      <c r="S393" s="6">
        <v>426000000</v>
      </c>
      <c r="U393" s="6">
        <v>426000000</v>
      </c>
      <c r="V393" s="6">
        <v>440000000</v>
      </c>
      <c r="X393" s="6">
        <v>25000000</v>
      </c>
      <c r="Y393" s="6">
        <v>6000000</v>
      </c>
      <c r="Z393" s="8">
        <v>45937</v>
      </c>
      <c r="AA393" s="6" t="s">
        <v>2317</v>
      </c>
    </row>
    <row r="394" spans="1:27" x14ac:dyDescent="0.25">
      <c r="A394" s="8">
        <v>45941</v>
      </c>
      <c r="B394" s="6" t="s">
        <v>409</v>
      </c>
      <c r="C394" s="6" t="s">
        <v>1783</v>
      </c>
      <c r="D394" s="6" t="s">
        <v>36</v>
      </c>
      <c r="E394" s="6" t="str">
        <f>VLOOKUP(D394,'shipping inf'!B:D,2,FALSE)</f>
        <v>TP Hồ Chí Minh</v>
      </c>
      <c r="F394" s="6" t="s">
        <v>1287</v>
      </c>
      <c r="G394" s="6">
        <v>100</v>
      </c>
      <c r="H394" s="6">
        <v>2510801301</v>
      </c>
      <c r="I394" s="6" t="s">
        <v>1360</v>
      </c>
      <c r="J394" s="6">
        <v>24</v>
      </c>
      <c r="K394" s="6">
        <v>24</v>
      </c>
      <c r="L394" s="6" t="s">
        <v>19</v>
      </c>
      <c r="M394" s="6" t="s">
        <v>37</v>
      </c>
      <c r="N394" s="6" t="str">
        <f>VLOOKUP(Table1[[#This Row],[elevator_traction_machine]],'Product inf'!A:B,2,FALSE)</f>
        <v>SP015</v>
      </c>
      <c r="O394" s="6" t="s">
        <v>3</v>
      </c>
      <c r="P394" s="6" t="s">
        <v>9</v>
      </c>
      <c r="Q394" s="6" t="s">
        <v>70</v>
      </c>
      <c r="R394" s="6" t="s">
        <v>68</v>
      </c>
      <c r="S394" s="6">
        <v>405000000</v>
      </c>
      <c r="U394" s="6">
        <v>405000000</v>
      </c>
      <c r="V394" s="6">
        <v>431000000</v>
      </c>
      <c r="Y394" s="6">
        <v>6000000</v>
      </c>
      <c r="Z394" s="8">
        <v>45941</v>
      </c>
      <c r="AA394" s="6" t="s">
        <v>2317</v>
      </c>
    </row>
    <row r="395" spans="1:27" x14ac:dyDescent="0.25">
      <c r="A395" s="8">
        <v>45560</v>
      </c>
      <c r="B395" s="6" t="s">
        <v>190</v>
      </c>
      <c r="C395" s="6" t="s">
        <v>1784</v>
      </c>
      <c r="D395" s="6" t="s">
        <v>36</v>
      </c>
      <c r="E395" s="6" t="str">
        <f>VLOOKUP(D395,'shipping inf'!B:D,2,FALSE)</f>
        <v>TP Hồ Chí Minh</v>
      </c>
      <c r="F395" s="6" t="s">
        <v>1310</v>
      </c>
      <c r="G395" s="6">
        <v>60</v>
      </c>
      <c r="H395" s="6">
        <v>2410801401</v>
      </c>
      <c r="I395" s="6" t="s">
        <v>1360</v>
      </c>
      <c r="J395" s="6">
        <v>24</v>
      </c>
      <c r="K395" s="6">
        <v>24</v>
      </c>
      <c r="L395" s="6" t="s">
        <v>15</v>
      </c>
      <c r="M395" s="6" t="s">
        <v>37</v>
      </c>
      <c r="N395" s="6" t="str">
        <f>VLOOKUP(Table1[[#This Row],[elevator_traction_machine]],'Product inf'!A:B,2,FALSE)</f>
        <v>SP006</v>
      </c>
      <c r="O395" s="6" t="s">
        <v>3</v>
      </c>
      <c r="P395" s="6" t="s">
        <v>9</v>
      </c>
      <c r="Q395" s="6" t="s">
        <v>67</v>
      </c>
      <c r="R395" s="6" t="s">
        <v>68</v>
      </c>
      <c r="S395" s="6">
        <v>350000000</v>
      </c>
      <c r="U395" s="6">
        <v>350000000</v>
      </c>
      <c r="V395" s="6">
        <v>358800000</v>
      </c>
      <c r="Y395" s="6">
        <v>6000000</v>
      </c>
      <c r="Z395" s="8">
        <v>45561</v>
      </c>
      <c r="AA395" s="6" t="s">
        <v>2044</v>
      </c>
    </row>
    <row r="396" spans="1:27" x14ac:dyDescent="0.25">
      <c r="A396" s="8">
        <v>45943</v>
      </c>
      <c r="B396" s="6" t="s">
        <v>412</v>
      </c>
      <c r="C396" s="6" t="s">
        <v>1785</v>
      </c>
      <c r="D396" s="6" t="s">
        <v>36</v>
      </c>
      <c r="E396" s="6" t="str">
        <f>VLOOKUP(D396,'shipping inf'!B:D,2,FALSE)</f>
        <v>TP Hồ Chí Minh</v>
      </c>
      <c r="F396" s="6" t="s">
        <v>1311</v>
      </c>
      <c r="G396" s="6">
        <v>70</v>
      </c>
      <c r="H396" s="6">
        <v>2510801401</v>
      </c>
      <c r="I396" s="6" t="s">
        <v>1360</v>
      </c>
      <c r="J396" s="6">
        <v>24</v>
      </c>
      <c r="K396" s="6">
        <v>24</v>
      </c>
      <c r="L396" s="6" t="s">
        <v>19</v>
      </c>
      <c r="M396" s="6" t="s">
        <v>37</v>
      </c>
      <c r="N396" s="6" t="str">
        <f>VLOOKUP(Table1[[#This Row],[elevator_traction_machine]],'Product inf'!A:B,2,FALSE)</f>
        <v>SP015</v>
      </c>
      <c r="O396" s="6" t="s">
        <v>3</v>
      </c>
      <c r="P396" s="6" t="s">
        <v>9</v>
      </c>
      <c r="Q396" s="6" t="s">
        <v>70</v>
      </c>
      <c r="R396" s="6" t="s">
        <v>68</v>
      </c>
      <c r="S396" s="6">
        <v>498000000</v>
      </c>
      <c r="U396" s="6">
        <v>498000000</v>
      </c>
      <c r="V396" s="6">
        <v>510550000</v>
      </c>
      <c r="X396" s="6">
        <v>20000000</v>
      </c>
      <c r="Y396" s="6">
        <v>6000000</v>
      </c>
      <c r="Z396" s="8">
        <v>45944</v>
      </c>
      <c r="AA396" s="6" t="s">
        <v>2317</v>
      </c>
    </row>
    <row r="397" spans="1:27" x14ac:dyDescent="0.25">
      <c r="A397" s="8">
        <v>45576</v>
      </c>
      <c r="B397" s="6" t="s">
        <v>202</v>
      </c>
      <c r="C397" s="6" t="s">
        <v>1786</v>
      </c>
      <c r="D397" s="6" t="s">
        <v>36</v>
      </c>
      <c r="E397" s="6" t="str">
        <f>VLOOKUP(D397,'shipping inf'!B:D,2,FALSE)</f>
        <v>TP Hồ Chí Minh</v>
      </c>
      <c r="F397" s="6" t="s">
        <v>1312</v>
      </c>
      <c r="G397" s="6">
        <v>75</v>
      </c>
      <c r="H397" s="6">
        <v>2410801501</v>
      </c>
      <c r="I397" s="6" t="s">
        <v>1360</v>
      </c>
      <c r="J397" s="6">
        <v>24</v>
      </c>
      <c r="K397" s="6">
        <v>24</v>
      </c>
      <c r="L397" s="6" t="s">
        <v>19</v>
      </c>
      <c r="M397" s="6" t="s">
        <v>37</v>
      </c>
      <c r="N397" s="6" t="str">
        <f>VLOOKUP(Table1[[#This Row],[elevator_traction_machine]],'Product inf'!A:B,2,FALSE)</f>
        <v>SP015</v>
      </c>
      <c r="O397" s="6" t="s">
        <v>3</v>
      </c>
      <c r="P397" s="6" t="s">
        <v>9</v>
      </c>
      <c r="Q397" s="6" t="s">
        <v>70</v>
      </c>
      <c r="R397" s="6" t="s">
        <v>68</v>
      </c>
      <c r="S397" s="6">
        <v>420000000</v>
      </c>
      <c r="U397" s="6">
        <v>420000000</v>
      </c>
      <c r="V397" s="6">
        <v>383000000</v>
      </c>
      <c r="X397" s="6">
        <v>35000000</v>
      </c>
      <c r="Y397" s="6">
        <v>10000000</v>
      </c>
      <c r="Z397" s="8">
        <v>45576</v>
      </c>
      <c r="AA397" s="6" t="s">
        <v>2065</v>
      </c>
    </row>
    <row r="398" spans="1:27" x14ac:dyDescent="0.25">
      <c r="A398" s="8">
        <v>45981</v>
      </c>
      <c r="B398" s="6" t="s">
        <v>448</v>
      </c>
      <c r="C398" s="6" t="s">
        <v>1787</v>
      </c>
      <c r="D398" s="6" t="s">
        <v>36</v>
      </c>
      <c r="E398" s="6" t="str">
        <f>VLOOKUP(D398,'shipping inf'!B:D,2,FALSE)</f>
        <v>TP Hồ Chí Minh</v>
      </c>
      <c r="F398" s="6" t="s">
        <v>1313</v>
      </c>
      <c r="G398" s="6">
        <v>50</v>
      </c>
      <c r="H398" s="6">
        <v>2510801501</v>
      </c>
      <c r="I398" s="6" t="s">
        <v>1360</v>
      </c>
      <c r="J398" s="6">
        <v>24</v>
      </c>
      <c r="K398" s="6">
        <v>24</v>
      </c>
      <c r="L398" s="6" t="s">
        <v>19</v>
      </c>
      <c r="M398" s="6" t="s">
        <v>37</v>
      </c>
      <c r="N398" s="6" t="str">
        <f>VLOOKUP(Table1[[#This Row],[elevator_traction_machine]],'Product inf'!A:B,2,FALSE)</f>
        <v>SP006</v>
      </c>
      <c r="O398" s="6" t="s">
        <v>3</v>
      </c>
      <c r="P398" s="6" t="s">
        <v>9</v>
      </c>
      <c r="Q398" s="6" t="s">
        <v>67</v>
      </c>
      <c r="R398" s="6" t="s">
        <v>68</v>
      </c>
      <c r="S398" s="6">
        <v>380000000</v>
      </c>
      <c r="U398" s="6">
        <v>380000000</v>
      </c>
      <c r="V398" s="6">
        <v>389000000</v>
      </c>
      <c r="X398" s="6">
        <v>20000000</v>
      </c>
      <c r="Y398" s="6">
        <v>6000000</v>
      </c>
      <c r="Z398" s="8">
        <v>45983</v>
      </c>
      <c r="AA398" s="6" t="s">
        <v>2338</v>
      </c>
    </row>
    <row r="399" spans="1:27" x14ac:dyDescent="0.25">
      <c r="A399" s="8">
        <v>45593</v>
      </c>
      <c r="B399" s="6" t="s">
        <v>218</v>
      </c>
      <c r="C399" s="6" t="s">
        <v>1788</v>
      </c>
      <c r="D399" s="6" t="s">
        <v>48</v>
      </c>
      <c r="E399" s="6" t="str">
        <f>VLOOKUP(D399,'shipping inf'!B:D,2,FALSE)</f>
        <v>Đồng Nai</v>
      </c>
      <c r="F399" s="6" t="s">
        <v>1314</v>
      </c>
      <c r="G399" s="6">
        <v>90</v>
      </c>
      <c r="H399" s="6">
        <v>2410801601</v>
      </c>
      <c r="I399" s="6" t="s">
        <v>1360</v>
      </c>
      <c r="J399" s="6">
        <v>24</v>
      </c>
      <c r="K399" s="6">
        <v>24</v>
      </c>
      <c r="L399" s="6" t="s">
        <v>15</v>
      </c>
      <c r="M399" s="6" t="s">
        <v>37</v>
      </c>
      <c r="N399" s="6" t="str">
        <f>VLOOKUP(Table1[[#This Row],[elevator_traction_machine]],'Product inf'!A:B,2,FALSE)</f>
        <v>SP006</v>
      </c>
      <c r="O399" s="6" t="s">
        <v>3</v>
      </c>
      <c r="P399" s="6" t="s">
        <v>9</v>
      </c>
      <c r="Q399" s="6" t="s">
        <v>67</v>
      </c>
      <c r="R399" s="6" t="s">
        <v>68</v>
      </c>
      <c r="S399" s="6">
        <v>480000000</v>
      </c>
      <c r="U399" s="6">
        <v>480000000</v>
      </c>
      <c r="V399" s="6">
        <v>446000000</v>
      </c>
      <c r="X399" s="6">
        <v>25000000</v>
      </c>
      <c r="Y399" s="6">
        <v>8000000</v>
      </c>
      <c r="Z399" s="8">
        <v>45594</v>
      </c>
      <c r="AA399" s="6" t="s">
        <v>2065</v>
      </c>
    </row>
    <row r="400" spans="1:27" x14ac:dyDescent="0.25">
      <c r="A400" s="8">
        <v>45981</v>
      </c>
      <c r="B400" s="6" t="s">
        <v>449</v>
      </c>
      <c r="C400" s="6" t="s">
        <v>1789</v>
      </c>
      <c r="D400" s="6" t="s">
        <v>36</v>
      </c>
      <c r="E400" s="6" t="str">
        <f>VLOOKUP(D400,'shipping inf'!B:D,2,FALSE)</f>
        <v>TP Hồ Chí Minh</v>
      </c>
      <c r="F400" s="6" t="s">
        <v>1315</v>
      </c>
      <c r="G400" s="6">
        <v>150</v>
      </c>
      <c r="H400" s="6">
        <v>2510801601</v>
      </c>
      <c r="I400" s="6" t="s">
        <v>1360</v>
      </c>
      <c r="J400" s="6">
        <v>24</v>
      </c>
      <c r="K400" s="6">
        <v>24</v>
      </c>
      <c r="L400" s="6" t="s">
        <v>19</v>
      </c>
      <c r="M400" s="6" t="s">
        <v>37</v>
      </c>
      <c r="N400" s="6" t="str">
        <f>VLOOKUP(Table1[[#This Row],[elevator_traction_machine]],'Product inf'!A:B,2,FALSE)</f>
        <v>SP006</v>
      </c>
      <c r="O400" s="6" t="s">
        <v>3</v>
      </c>
      <c r="P400" s="6" t="s">
        <v>9</v>
      </c>
      <c r="Q400" s="6" t="s">
        <v>67</v>
      </c>
      <c r="R400" s="6" t="s">
        <v>68</v>
      </c>
      <c r="S400" s="6">
        <v>440000000</v>
      </c>
      <c r="U400" s="6">
        <v>440000000</v>
      </c>
      <c r="V400" s="6">
        <v>450000000</v>
      </c>
      <c r="X400" s="6">
        <v>19000000</v>
      </c>
      <c r="Z400" s="8">
        <v>45983</v>
      </c>
      <c r="AA400" s="6" t="s">
        <v>2338</v>
      </c>
    </row>
    <row r="401" spans="1:27" x14ac:dyDescent="0.25">
      <c r="A401" s="8">
        <v>45601</v>
      </c>
      <c r="B401" s="6" t="s">
        <v>222</v>
      </c>
      <c r="C401" s="6" t="s">
        <v>1790</v>
      </c>
      <c r="D401" s="6" t="s">
        <v>36</v>
      </c>
      <c r="E401" s="6" t="str">
        <f>VLOOKUP(D401,'shipping inf'!B:D,2,FALSE)</f>
        <v>TP Hồ Chí Minh</v>
      </c>
      <c r="F401" s="6" t="s">
        <v>1316</v>
      </c>
      <c r="G401" s="6">
        <v>75</v>
      </c>
      <c r="H401" s="6">
        <v>2410801701</v>
      </c>
      <c r="I401" s="6" t="s">
        <v>1360</v>
      </c>
      <c r="J401" s="6">
        <v>24</v>
      </c>
      <c r="K401" s="6">
        <v>24</v>
      </c>
      <c r="L401" s="6" t="s">
        <v>19</v>
      </c>
      <c r="M401" s="6" t="s">
        <v>37</v>
      </c>
      <c r="N401" s="6" t="str">
        <f>VLOOKUP(Table1[[#This Row],[elevator_traction_machine]],'Product inf'!A:B,2,FALSE)</f>
        <v>SP006</v>
      </c>
      <c r="O401" s="6" t="s">
        <v>3</v>
      </c>
      <c r="P401" s="6" t="s">
        <v>9</v>
      </c>
      <c r="Q401" s="6" t="s">
        <v>67</v>
      </c>
      <c r="R401" s="6" t="s">
        <v>68</v>
      </c>
      <c r="S401" s="6">
        <v>503000000</v>
      </c>
      <c r="U401" s="6">
        <v>503000000</v>
      </c>
      <c r="V401" s="6">
        <v>461755000</v>
      </c>
      <c r="X401" s="6">
        <v>35000000</v>
      </c>
      <c r="Y401" s="6">
        <v>10000000</v>
      </c>
      <c r="Z401" s="8">
        <v>45601</v>
      </c>
      <c r="AA401" s="6" t="s">
        <v>2086</v>
      </c>
    </row>
    <row r="402" spans="1:27" x14ac:dyDescent="0.25">
      <c r="A402" s="8">
        <v>46022</v>
      </c>
      <c r="B402" s="6" t="s">
        <v>470</v>
      </c>
      <c r="C402" s="6" t="s">
        <v>1791</v>
      </c>
      <c r="D402" s="6" t="s">
        <v>36</v>
      </c>
      <c r="E402" s="6" t="str">
        <f>VLOOKUP(D402,'shipping inf'!B:D,2,FALSE)</f>
        <v>TP Hồ Chí Minh</v>
      </c>
      <c r="F402" s="6" t="s">
        <v>1317</v>
      </c>
      <c r="G402" s="6">
        <v>180</v>
      </c>
      <c r="H402" s="6">
        <v>2510801701</v>
      </c>
      <c r="I402" s="6" t="s">
        <v>1360</v>
      </c>
      <c r="J402" s="6">
        <v>24</v>
      </c>
      <c r="K402" s="6">
        <v>24</v>
      </c>
      <c r="L402" s="6" t="s">
        <v>19</v>
      </c>
      <c r="M402" s="6" t="s">
        <v>37</v>
      </c>
      <c r="N402" s="6" t="str">
        <f>VLOOKUP(Table1[[#This Row],[elevator_traction_machine]],'Product inf'!A:B,2,FALSE)</f>
        <v>SP015</v>
      </c>
      <c r="O402" s="6" t="s">
        <v>8</v>
      </c>
      <c r="P402" s="6" t="s">
        <v>9</v>
      </c>
      <c r="Q402" s="6" t="s">
        <v>70</v>
      </c>
      <c r="R402" s="6" t="s">
        <v>68</v>
      </c>
      <c r="S402" s="6">
        <v>466000000</v>
      </c>
      <c r="U402" s="6">
        <v>466000000</v>
      </c>
      <c r="V402" s="6">
        <v>444400000</v>
      </c>
      <c r="X402" s="6">
        <v>20000000</v>
      </c>
      <c r="Y402" s="6">
        <v>10000000</v>
      </c>
      <c r="Z402" s="8">
        <v>46022</v>
      </c>
      <c r="AA402" s="6" t="s">
        <v>2359</v>
      </c>
    </row>
    <row r="403" spans="1:27" x14ac:dyDescent="0.25">
      <c r="A403" s="8">
        <v>45604</v>
      </c>
      <c r="B403" s="6" t="s">
        <v>879</v>
      </c>
      <c r="C403" s="6" t="s">
        <v>1792</v>
      </c>
      <c r="D403" s="6" t="s">
        <v>36</v>
      </c>
      <c r="E403" s="6" t="str">
        <f>VLOOKUP(D403,'shipping inf'!B:D,2,FALSE)</f>
        <v>TP Hồ Chí Minh</v>
      </c>
      <c r="F403" s="6" t="s">
        <v>1318</v>
      </c>
      <c r="G403" s="6">
        <v>60</v>
      </c>
      <c r="H403" s="6">
        <v>2410801801</v>
      </c>
      <c r="I403" s="6" t="s">
        <v>1360</v>
      </c>
      <c r="J403" s="6">
        <v>24</v>
      </c>
      <c r="K403" s="6">
        <v>24</v>
      </c>
      <c r="L403" s="6" t="s">
        <v>19</v>
      </c>
      <c r="M403" s="6" t="s">
        <v>37</v>
      </c>
      <c r="N403" s="6" t="str">
        <f>VLOOKUP(Table1[[#This Row],[elevator_traction_machine]],'Product inf'!A:B,2,FALSE)</f>
        <v>SP015</v>
      </c>
      <c r="O403" s="6" t="s">
        <v>8</v>
      </c>
      <c r="P403" s="6" t="s">
        <v>9</v>
      </c>
      <c r="Q403" s="6" t="s">
        <v>70</v>
      </c>
      <c r="R403" s="6" t="s">
        <v>68</v>
      </c>
      <c r="S403" s="6">
        <v>420000000</v>
      </c>
      <c r="U403" s="6">
        <v>420000000</v>
      </c>
      <c r="V403" s="6">
        <v>411000000</v>
      </c>
      <c r="X403" s="6">
        <v>10000000</v>
      </c>
      <c r="Y403" s="6">
        <v>10000000</v>
      </c>
      <c r="Z403" s="8">
        <v>45610</v>
      </c>
      <c r="AA403" s="6" t="s">
        <v>2086</v>
      </c>
    </row>
    <row r="404" spans="1:27" x14ac:dyDescent="0.25">
      <c r="A404" s="8">
        <v>46021</v>
      </c>
      <c r="B404" s="6" t="s">
        <v>467</v>
      </c>
      <c r="C404" s="6" t="s">
        <v>1793</v>
      </c>
      <c r="D404" s="6" t="s">
        <v>36</v>
      </c>
      <c r="E404" s="6" t="str">
        <f>VLOOKUP(D404,'shipping inf'!B:D,2,FALSE)</f>
        <v>TP Hồ Chí Minh</v>
      </c>
      <c r="F404" s="6" t="s">
        <v>1319</v>
      </c>
      <c r="G404" s="6">
        <v>100</v>
      </c>
      <c r="H404" s="6">
        <v>2510801801</v>
      </c>
      <c r="I404" s="6" t="s">
        <v>1360</v>
      </c>
      <c r="J404" s="6">
        <v>24</v>
      </c>
      <c r="K404" s="6">
        <v>24</v>
      </c>
      <c r="L404" s="6" t="s">
        <v>19</v>
      </c>
      <c r="M404" s="6" t="s">
        <v>37</v>
      </c>
      <c r="N404" s="6" t="str">
        <f>VLOOKUP(Table1[[#This Row],[elevator_traction_machine]],'Product inf'!A:B,2,FALSE)</f>
        <v>SP006</v>
      </c>
      <c r="O404" s="6" t="s">
        <v>8</v>
      </c>
      <c r="P404" s="6" t="s">
        <v>9</v>
      </c>
      <c r="Q404" s="6" t="s">
        <v>67</v>
      </c>
      <c r="R404" s="6" t="s">
        <v>68</v>
      </c>
      <c r="S404" s="6">
        <v>385000000</v>
      </c>
      <c r="U404" s="6">
        <v>385000000</v>
      </c>
      <c r="V404" s="6">
        <v>384100000</v>
      </c>
      <c r="X404" s="6">
        <v>15000000</v>
      </c>
      <c r="Y404" s="6">
        <v>10000000</v>
      </c>
      <c r="Z404" s="8">
        <v>46021</v>
      </c>
      <c r="AA404" s="6" t="s">
        <v>2359</v>
      </c>
    </row>
    <row r="405" spans="1:27" x14ac:dyDescent="0.25">
      <c r="A405" s="8">
        <v>45624</v>
      </c>
      <c r="B405" s="6" t="s">
        <v>234</v>
      </c>
      <c r="C405" s="6" t="s">
        <v>1794</v>
      </c>
      <c r="D405" s="6" t="s">
        <v>36</v>
      </c>
      <c r="E405" s="6" t="str">
        <f>VLOOKUP(D405,'shipping inf'!B:D,2,FALSE)</f>
        <v>TP Hồ Chí Minh</v>
      </c>
      <c r="F405" s="6" t="s">
        <v>1320</v>
      </c>
      <c r="G405" s="6">
        <v>105</v>
      </c>
      <c r="H405" s="6">
        <v>2410801901</v>
      </c>
      <c r="I405" s="6" t="s">
        <v>1360</v>
      </c>
      <c r="J405" s="6">
        <v>24</v>
      </c>
      <c r="K405" s="6">
        <v>24</v>
      </c>
      <c r="L405" s="6" t="s">
        <v>19</v>
      </c>
      <c r="M405" s="6" t="s">
        <v>37</v>
      </c>
      <c r="N405" s="6" t="str">
        <f>VLOOKUP(Table1[[#This Row],[elevator_traction_machine]],'Product inf'!A:B,2,FALSE)</f>
        <v>SP006</v>
      </c>
      <c r="O405" s="6" t="s">
        <v>3</v>
      </c>
      <c r="P405" s="6" t="s">
        <v>9</v>
      </c>
      <c r="Q405" s="6" t="s">
        <v>67</v>
      </c>
      <c r="R405" s="6" t="s">
        <v>68</v>
      </c>
      <c r="S405" s="6">
        <v>393000000</v>
      </c>
      <c r="U405" s="6">
        <v>393000000</v>
      </c>
      <c r="V405" s="6">
        <v>364700000</v>
      </c>
      <c r="X405" s="6">
        <v>25000000</v>
      </c>
      <c r="Y405" s="6">
        <v>10000000</v>
      </c>
      <c r="Z405" s="8">
        <v>45625</v>
      </c>
      <c r="AA405" s="6" t="s">
        <v>2086</v>
      </c>
    </row>
    <row r="406" spans="1:27" x14ac:dyDescent="0.25">
      <c r="A406" s="8">
        <v>46022</v>
      </c>
      <c r="B406" s="6" t="s">
        <v>466</v>
      </c>
      <c r="C406" s="6" t="s">
        <v>1795</v>
      </c>
      <c r="D406" s="6" t="s">
        <v>36</v>
      </c>
      <c r="E406" s="6" t="str">
        <f>VLOOKUP(D406,'shipping inf'!B:D,2,FALSE)</f>
        <v>TP Hồ Chí Minh</v>
      </c>
      <c r="F406" s="6" t="s">
        <v>1313</v>
      </c>
      <c r="G406" s="6">
        <v>45</v>
      </c>
      <c r="H406" s="6">
        <v>2510801901</v>
      </c>
      <c r="I406" s="6" t="s">
        <v>1360</v>
      </c>
      <c r="J406" s="6">
        <v>24</v>
      </c>
      <c r="K406" s="6">
        <v>24</v>
      </c>
      <c r="L406" s="6" t="s">
        <v>19</v>
      </c>
      <c r="M406" s="6" t="s">
        <v>37</v>
      </c>
      <c r="N406" s="6" t="str">
        <f>VLOOKUP(Table1[[#This Row],[elevator_traction_machine]],'Product inf'!A:B,2,FALSE)</f>
        <v>SP006</v>
      </c>
      <c r="O406" s="6" t="s">
        <v>8</v>
      </c>
      <c r="P406" s="6" t="s">
        <v>9</v>
      </c>
      <c r="Q406" s="6" t="s">
        <v>67</v>
      </c>
      <c r="R406" s="6" t="s">
        <v>68</v>
      </c>
      <c r="S406" s="6">
        <v>355000000</v>
      </c>
      <c r="U406" s="6">
        <v>355000000</v>
      </c>
      <c r="V406" s="6">
        <v>331000000</v>
      </c>
      <c r="X406" s="6">
        <v>20000000</v>
      </c>
      <c r="Y406" s="6">
        <v>10000000</v>
      </c>
      <c r="Z406" s="8">
        <v>46021</v>
      </c>
      <c r="AA406" s="6" t="s">
        <v>2359</v>
      </c>
    </row>
    <row r="407" spans="1:27" x14ac:dyDescent="0.25">
      <c r="A407" s="8">
        <v>45651</v>
      </c>
      <c r="B407" s="6" t="s">
        <v>243</v>
      </c>
      <c r="C407" s="6" t="s">
        <v>1796</v>
      </c>
      <c r="D407" s="6" t="s">
        <v>36</v>
      </c>
      <c r="E407" s="6" t="str">
        <f>VLOOKUP(D407,'shipping inf'!B:D,2,FALSE)</f>
        <v>TP Hồ Chí Minh</v>
      </c>
      <c r="F407" s="6" t="s">
        <v>1321</v>
      </c>
      <c r="G407" s="6">
        <v>150</v>
      </c>
      <c r="H407" s="6">
        <v>2410802101</v>
      </c>
      <c r="I407" s="6" t="s">
        <v>1360</v>
      </c>
      <c r="J407" s="6">
        <v>24</v>
      </c>
      <c r="K407" s="6">
        <v>24</v>
      </c>
      <c r="L407" s="6" t="s">
        <v>19</v>
      </c>
      <c r="M407" s="6" t="s">
        <v>37</v>
      </c>
      <c r="N407" s="6" t="str">
        <f>VLOOKUP(Table1[[#This Row],[elevator_traction_machine]],'Product inf'!A:B,2,FALSE)</f>
        <v>SP015</v>
      </c>
      <c r="O407" s="6" t="s">
        <v>8</v>
      </c>
      <c r="P407" s="6" t="s">
        <v>9</v>
      </c>
      <c r="Q407" s="6" t="s">
        <v>70</v>
      </c>
      <c r="R407" s="6" t="s">
        <v>68</v>
      </c>
      <c r="S407" s="6">
        <v>558000000</v>
      </c>
      <c r="U407" s="6">
        <v>558000000</v>
      </c>
      <c r="V407" s="6">
        <v>542100000</v>
      </c>
      <c r="X407" s="6">
        <v>15000000</v>
      </c>
      <c r="Y407" s="6">
        <v>12000000</v>
      </c>
      <c r="Z407" s="8">
        <v>45651</v>
      </c>
      <c r="AA407" s="6" t="s">
        <v>2107</v>
      </c>
    </row>
    <row r="408" spans="1:27" x14ac:dyDescent="0.25">
      <c r="A408" s="8">
        <v>45656</v>
      </c>
      <c r="B408" s="6" t="s">
        <v>244</v>
      </c>
      <c r="C408" s="6" t="s">
        <v>1797</v>
      </c>
      <c r="D408" s="6" t="s">
        <v>48</v>
      </c>
      <c r="E408" s="6" t="str">
        <f>VLOOKUP(D408,'shipping inf'!B:D,2,FALSE)</f>
        <v>Đồng Nai</v>
      </c>
      <c r="F408" s="6" t="s">
        <v>1322</v>
      </c>
      <c r="G408" s="6">
        <v>90</v>
      </c>
      <c r="H408" s="6">
        <v>2410802201</v>
      </c>
      <c r="I408" s="6" t="s">
        <v>1360</v>
      </c>
      <c r="J408" s="6">
        <v>24</v>
      </c>
      <c r="K408" s="6">
        <v>24</v>
      </c>
      <c r="L408" s="6" t="s">
        <v>15</v>
      </c>
      <c r="M408" s="6" t="s">
        <v>37</v>
      </c>
      <c r="N408" s="6" t="str">
        <f>VLOOKUP(Table1[[#This Row],[elevator_traction_machine]],'Product inf'!A:B,2,FALSE)</f>
        <v>SP015</v>
      </c>
      <c r="O408" s="6" t="s">
        <v>3</v>
      </c>
      <c r="P408" s="6" t="s">
        <v>9</v>
      </c>
      <c r="Q408" s="6" t="s">
        <v>70</v>
      </c>
      <c r="R408" s="6" t="s">
        <v>68</v>
      </c>
      <c r="S408" s="6">
        <v>415000000</v>
      </c>
      <c r="U408" s="6">
        <v>415000000</v>
      </c>
      <c r="V408" s="6">
        <v>400000000</v>
      </c>
      <c r="X408" s="6">
        <v>15000000</v>
      </c>
      <c r="Y408" s="6">
        <v>6000000</v>
      </c>
      <c r="Z408" s="8">
        <v>45657</v>
      </c>
      <c r="AA408" s="6" t="s">
        <v>2107</v>
      </c>
    </row>
    <row r="409" spans="1:27" x14ac:dyDescent="0.25">
      <c r="A409" s="8">
        <v>45383</v>
      </c>
      <c r="B409" s="6" t="s">
        <v>94</v>
      </c>
      <c r="C409" s="6" t="s">
        <v>1798</v>
      </c>
      <c r="D409" s="6" t="s">
        <v>35</v>
      </c>
      <c r="E409" s="6" t="str">
        <f>VLOOKUP(D409,'shipping inf'!B:D,2,FALSE)</f>
        <v>TP Hồ Chí Minh</v>
      </c>
      <c r="F409" s="6" t="s">
        <v>1323</v>
      </c>
      <c r="G409" s="6">
        <v>90</v>
      </c>
      <c r="H409" s="6">
        <v>2410900101</v>
      </c>
      <c r="I409" s="6" t="s">
        <v>1361</v>
      </c>
      <c r="J409" s="6">
        <v>24</v>
      </c>
      <c r="K409" s="6">
        <v>12</v>
      </c>
      <c r="L409" s="6" t="s">
        <v>19</v>
      </c>
      <c r="M409" s="6" t="s">
        <v>37</v>
      </c>
      <c r="N409" s="6" t="str">
        <f>VLOOKUP(Table1[[#This Row],[elevator_traction_machine]],'Product inf'!A:B,2,FALSE)</f>
        <v>SP015</v>
      </c>
      <c r="O409" s="6" t="s">
        <v>8</v>
      </c>
      <c r="P409" s="6" t="s">
        <v>9</v>
      </c>
      <c r="Q409" s="6" t="s">
        <v>70</v>
      </c>
      <c r="R409" s="6" t="s">
        <v>68</v>
      </c>
      <c r="S409" s="6">
        <v>600000000</v>
      </c>
      <c r="T409" s="6">
        <v>48000000</v>
      </c>
      <c r="U409" s="6">
        <v>648000000</v>
      </c>
      <c r="X409" s="6">
        <v>10000000</v>
      </c>
      <c r="Y409" s="6">
        <v>8000000</v>
      </c>
      <c r="Z409" s="8">
        <v>45390</v>
      </c>
      <c r="AA409" s="6" t="s">
        <v>1940</v>
      </c>
    </row>
    <row r="410" spans="1:27" x14ac:dyDescent="0.25">
      <c r="A410" s="8">
        <v>45663</v>
      </c>
      <c r="B410" s="6" t="s">
        <v>245</v>
      </c>
      <c r="C410" s="6" t="s">
        <v>1799</v>
      </c>
      <c r="D410" s="6" t="s">
        <v>36</v>
      </c>
      <c r="E410" s="6" t="str">
        <f>VLOOKUP(D410,'shipping inf'!B:D,2,FALSE)</f>
        <v>TP Hồ Chí Minh</v>
      </c>
      <c r="F410" s="6" t="s">
        <v>1324</v>
      </c>
      <c r="G410" s="6">
        <v>120</v>
      </c>
      <c r="H410" s="6">
        <v>2510900101</v>
      </c>
      <c r="I410" s="6" t="s">
        <v>1361</v>
      </c>
      <c r="J410" s="6">
        <v>24</v>
      </c>
      <c r="K410" s="6">
        <v>24</v>
      </c>
      <c r="L410" s="6" t="s">
        <v>15</v>
      </c>
      <c r="M410" s="6" t="s">
        <v>37</v>
      </c>
      <c r="N410" s="6" t="str">
        <f>VLOOKUP(Table1[[#This Row],[elevator_traction_machine]],'Product inf'!A:B,2,FALSE)</f>
        <v>SP015</v>
      </c>
      <c r="O410" s="6" t="s">
        <v>3</v>
      </c>
      <c r="P410" s="6" t="s">
        <v>9</v>
      </c>
      <c r="Q410" s="6" t="s">
        <v>70</v>
      </c>
      <c r="R410" s="6" t="s">
        <v>68</v>
      </c>
      <c r="S410" s="6">
        <v>380000000</v>
      </c>
      <c r="U410" s="6">
        <v>380000000</v>
      </c>
      <c r="V410" s="6">
        <v>379500000</v>
      </c>
      <c r="X410" s="6">
        <v>10000000</v>
      </c>
      <c r="Y410" s="6">
        <v>6000000</v>
      </c>
      <c r="Z410" s="8">
        <v>45663</v>
      </c>
      <c r="AA410" s="6" t="s">
        <v>2129</v>
      </c>
    </row>
    <row r="411" spans="1:27" x14ac:dyDescent="0.25">
      <c r="A411" s="8">
        <v>46092</v>
      </c>
      <c r="B411" s="6" t="s">
        <v>497</v>
      </c>
      <c r="C411" s="6" t="s">
        <v>1800</v>
      </c>
      <c r="D411" s="6" t="s">
        <v>36</v>
      </c>
      <c r="E411" s="6" t="str">
        <f>VLOOKUP(D411,'shipping inf'!B:D,2,FALSE)</f>
        <v>TP Hồ Chí Minh</v>
      </c>
      <c r="F411" s="6" t="s">
        <v>1325</v>
      </c>
      <c r="G411" s="6">
        <v>90</v>
      </c>
      <c r="H411" s="6">
        <v>2610900101</v>
      </c>
      <c r="I411" s="6" t="s">
        <v>1361</v>
      </c>
      <c r="J411" s="6">
        <v>24</v>
      </c>
      <c r="K411" s="6">
        <v>24</v>
      </c>
      <c r="L411" s="6" t="s">
        <v>19</v>
      </c>
      <c r="M411" s="6" t="s">
        <v>37</v>
      </c>
      <c r="N411" s="6" t="str">
        <f>VLOOKUP(Table1[[#This Row],[elevator_traction_machine]],'Product inf'!A:B,2,FALSE)</f>
        <v>SP006</v>
      </c>
      <c r="O411" s="6" t="s">
        <v>3</v>
      </c>
      <c r="P411" s="6" t="s">
        <v>9</v>
      </c>
      <c r="Q411" s="6" t="s">
        <v>67</v>
      </c>
      <c r="R411" s="6" t="s">
        <v>68</v>
      </c>
      <c r="S411" s="6">
        <v>415000000</v>
      </c>
      <c r="U411" s="6">
        <v>415000000</v>
      </c>
      <c r="V411" s="6">
        <v>405000000</v>
      </c>
      <c r="X411" s="6">
        <v>10000000</v>
      </c>
      <c r="Y411" s="6">
        <v>10000000</v>
      </c>
      <c r="Z411" s="8">
        <v>46099</v>
      </c>
      <c r="AA411" s="6" t="s">
        <v>2423</v>
      </c>
    </row>
    <row r="412" spans="1:27" x14ac:dyDescent="0.25">
      <c r="A412" s="8">
        <v>45439</v>
      </c>
      <c r="B412" s="6" t="s">
        <v>122</v>
      </c>
      <c r="C412" s="6" t="s">
        <v>1801</v>
      </c>
      <c r="D412" s="6" t="s">
        <v>36</v>
      </c>
      <c r="E412" s="6" t="str">
        <f>VLOOKUP(D412,'shipping inf'!B:D,2,FALSE)</f>
        <v>TP Hồ Chí Minh</v>
      </c>
      <c r="F412" s="6" t="s">
        <v>1326</v>
      </c>
      <c r="G412" s="6">
        <v>90</v>
      </c>
      <c r="H412" s="6">
        <v>2410900201</v>
      </c>
      <c r="I412" s="6" t="s">
        <v>1361</v>
      </c>
      <c r="J412" s="6">
        <v>24</v>
      </c>
      <c r="K412" s="6">
        <v>24</v>
      </c>
      <c r="L412" s="6" t="s">
        <v>15</v>
      </c>
      <c r="M412" s="6" t="s">
        <v>37</v>
      </c>
      <c r="N412" s="6" t="str">
        <f>VLOOKUP(Table1[[#This Row],[elevator_traction_machine]],'Product inf'!A:B,2,FALSE)</f>
        <v>SP015</v>
      </c>
      <c r="O412" s="6" t="s">
        <v>3</v>
      </c>
      <c r="P412" s="6" t="s">
        <v>9</v>
      </c>
      <c r="Q412" s="6" t="s">
        <v>70</v>
      </c>
      <c r="R412" s="6" t="s">
        <v>68</v>
      </c>
      <c r="S412" s="6">
        <v>465000000</v>
      </c>
      <c r="U412" s="6">
        <v>465000000</v>
      </c>
      <c r="X412" s="6">
        <v>5000000</v>
      </c>
      <c r="Y412" s="6">
        <v>6000000</v>
      </c>
      <c r="Z412" s="8">
        <v>45446</v>
      </c>
      <c r="AA412" s="6" t="s">
        <v>1961</v>
      </c>
    </row>
    <row r="413" spans="1:27" x14ac:dyDescent="0.25">
      <c r="A413" s="8">
        <v>45680</v>
      </c>
      <c r="B413" s="6" t="s">
        <v>248</v>
      </c>
      <c r="C413" s="6" t="s">
        <v>1802</v>
      </c>
      <c r="D413" s="6" t="s">
        <v>36</v>
      </c>
      <c r="E413" s="6" t="str">
        <f>VLOOKUP(D413,'shipping inf'!B:D,2,FALSE)</f>
        <v>TP Hồ Chí Minh</v>
      </c>
      <c r="F413" s="6" t="s">
        <v>1327</v>
      </c>
      <c r="G413" s="6">
        <v>120</v>
      </c>
      <c r="H413" s="6">
        <v>2510900201</v>
      </c>
      <c r="I413" s="6" t="s">
        <v>1361</v>
      </c>
      <c r="J413" s="6">
        <v>24</v>
      </c>
      <c r="K413" s="6">
        <v>24</v>
      </c>
      <c r="L413" s="6" t="s">
        <v>12</v>
      </c>
      <c r="M413" s="6" t="s">
        <v>37</v>
      </c>
      <c r="N413" s="6" t="str">
        <f>VLOOKUP(Table1[[#This Row],[elevator_traction_machine]],'Product inf'!A:B,2,FALSE)</f>
        <v>SP015</v>
      </c>
      <c r="O413" s="6" t="s">
        <v>3</v>
      </c>
      <c r="P413" s="6" t="s">
        <v>9</v>
      </c>
      <c r="Q413" s="6" t="s">
        <v>70</v>
      </c>
      <c r="R413" s="6" t="s">
        <v>68</v>
      </c>
      <c r="S413" s="6">
        <v>416000000</v>
      </c>
      <c r="U413" s="6">
        <v>416000000</v>
      </c>
      <c r="V413" s="6">
        <v>422000000</v>
      </c>
      <c r="X413" s="6">
        <v>5000000</v>
      </c>
      <c r="Y413" s="6">
        <v>8000000</v>
      </c>
      <c r="Z413" s="8">
        <v>45681</v>
      </c>
      <c r="AA413" s="6" t="s">
        <v>2129</v>
      </c>
    </row>
    <row r="414" spans="1:27" x14ac:dyDescent="0.25">
      <c r="A414" s="8">
        <v>46094</v>
      </c>
      <c r="B414" s="6" t="s">
        <v>496</v>
      </c>
      <c r="C414" s="6" t="s">
        <v>1803</v>
      </c>
      <c r="D414" s="6" t="s">
        <v>35</v>
      </c>
      <c r="E414" s="6" t="str">
        <f>VLOOKUP(D414,'shipping inf'!B:D,2,FALSE)</f>
        <v>TP Hồ Chí Minh</v>
      </c>
      <c r="F414" s="6" t="s">
        <v>1328</v>
      </c>
      <c r="G414" s="6">
        <v>60</v>
      </c>
      <c r="H414" s="6">
        <v>2610900201</v>
      </c>
      <c r="I414" s="6" t="s">
        <v>1361</v>
      </c>
      <c r="J414" s="6">
        <v>24</v>
      </c>
      <c r="K414" s="6">
        <v>24</v>
      </c>
      <c r="L414" s="6" t="s">
        <v>19</v>
      </c>
      <c r="M414" s="6" t="s">
        <v>37</v>
      </c>
      <c r="N414" s="6" t="str">
        <f>VLOOKUP(Table1[[#This Row],[elevator_traction_machine]],'Product inf'!A:B,2,FALSE)</f>
        <v>SP006</v>
      </c>
      <c r="O414" s="6" t="s">
        <v>3</v>
      </c>
      <c r="P414" s="6" t="s">
        <v>9</v>
      </c>
      <c r="Q414" s="6" t="s">
        <v>67</v>
      </c>
      <c r="R414" s="6" t="s">
        <v>68</v>
      </c>
      <c r="S414" s="6">
        <v>340000000</v>
      </c>
      <c r="U414" s="6">
        <v>340000000</v>
      </c>
      <c r="V414" s="6">
        <v>351500000</v>
      </c>
      <c r="X414" s="6">
        <v>10000000</v>
      </c>
      <c r="Y414" s="6">
        <v>6000000</v>
      </c>
      <c r="Z414" s="8">
        <v>46098</v>
      </c>
      <c r="AA414" s="6" t="s">
        <v>2423</v>
      </c>
    </row>
    <row r="415" spans="1:27" x14ac:dyDescent="0.25">
      <c r="A415" s="8">
        <v>45449</v>
      </c>
      <c r="B415" s="6" t="s">
        <v>126</v>
      </c>
      <c r="C415" s="6" t="s">
        <v>1804</v>
      </c>
      <c r="D415" s="6" t="s">
        <v>36</v>
      </c>
      <c r="E415" s="6" t="str">
        <f>VLOOKUP(D415,'shipping inf'!B:D,2,FALSE)</f>
        <v>TP Hồ Chí Minh</v>
      </c>
      <c r="F415" s="6" t="s">
        <v>1329</v>
      </c>
      <c r="G415" s="6">
        <v>90</v>
      </c>
      <c r="H415" s="6">
        <v>2410900301</v>
      </c>
      <c r="I415" s="6" t="s">
        <v>1361</v>
      </c>
      <c r="J415" s="6">
        <v>24</v>
      </c>
      <c r="K415" s="6">
        <v>12</v>
      </c>
      <c r="L415" s="6" t="s">
        <v>19</v>
      </c>
      <c r="M415" s="6" t="s">
        <v>37</v>
      </c>
      <c r="N415" s="6" t="str">
        <f>VLOOKUP(Table1[[#This Row],[elevator_traction_machine]],'Product inf'!A:B,2,FALSE)</f>
        <v>SP015</v>
      </c>
      <c r="O415" s="6" t="s">
        <v>3</v>
      </c>
      <c r="P415" s="6" t="s">
        <v>9</v>
      </c>
      <c r="Q415" s="6" t="s">
        <v>70</v>
      </c>
      <c r="R415" s="6" t="s">
        <v>68</v>
      </c>
      <c r="S415" s="6">
        <v>400000000</v>
      </c>
      <c r="U415" s="6">
        <v>400000000</v>
      </c>
      <c r="X415" s="6">
        <v>10000000</v>
      </c>
      <c r="Y415" s="6">
        <v>10000000</v>
      </c>
      <c r="Z415" s="8">
        <v>45453</v>
      </c>
      <c r="AA415" s="6" t="s">
        <v>1982</v>
      </c>
    </row>
    <row r="416" spans="1:27" x14ac:dyDescent="0.25">
      <c r="A416" s="8">
        <v>45741</v>
      </c>
      <c r="B416" s="6" t="s">
        <v>282</v>
      </c>
      <c r="C416" s="6" t="s">
        <v>1805</v>
      </c>
      <c r="D416" s="6" t="s">
        <v>36</v>
      </c>
      <c r="E416" s="6" t="str">
        <f>VLOOKUP(D416,'shipping inf'!B:D,2,FALSE)</f>
        <v>TP Hồ Chí Minh</v>
      </c>
      <c r="F416" s="6" t="s">
        <v>1330</v>
      </c>
      <c r="G416" s="6">
        <v>120</v>
      </c>
      <c r="H416" s="6">
        <v>2510900301</v>
      </c>
      <c r="I416" s="6" t="s">
        <v>1361</v>
      </c>
      <c r="J416" s="6">
        <v>24</v>
      </c>
      <c r="K416" s="6">
        <v>12</v>
      </c>
      <c r="L416" s="6" t="s">
        <v>15</v>
      </c>
      <c r="M416" s="6" t="s">
        <v>37</v>
      </c>
      <c r="N416" s="6" t="str">
        <f>VLOOKUP(Table1[[#This Row],[elevator_traction_machine]],'Product inf'!A:B,2,FALSE)</f>
        <v>SP015</v>
      </c>
      <c r="O416" s="6" t="s">
        <v>3</v>
      </c>
      <c r="P416" s="6" t="s">
        <v>9</v>
      </c>
      <c r="Q416" s="6" t="s">
        <v>70</v>
      </c>
      <c r="R416" s="6" t="s">
        <v>68</v>
      </c>
      <c r="S416" s="6">
        <v>409000000</v>
      </c>
      <c r="U416" s="6">
        <v>409000000</v>
      </c>
      <c r="V416" s="6">
        <v>418600000</v>
      </c>
      <c r="X416" s="6">
        <v>5000000</v>
      </c>
      <c r="Y416" s="6">
        <v>6000000</v>
      </c>
      <c r="Z416" s="8">
        <v>45741</v>
      </c>
      <c r="AA416" s="6" t="s">
        <v>2171</v>
      </c>
    </row>
    <row r="417" spans="1:27" x14ac:dyDescent="0.25">
      <c r="A417" s="8">
        <v>45477</v>
      </c>
      <c r="B417" s="6" t="s">
        <v>142</v>
      </c>
      <c r="C417" s="6" t="s">
        <v>1806</v>
      </c>
      <c r="D417" s="6" t="s">
        <v>36</v>
      </c>
      <c r="E417" s="6" t="str">
        <f>VLOOKUP(D417,'shipping inf'!B:D,2,FALSE)</f>
        <v>TP Hồ Chí Minh</v>
      </c>
      <c r="F417" s="6" t="s">
        <v>1331</v>
      </c>
      <c r="G417" s="6">
        <v>90</v>
      </c>
      <c r="H417" s="6">
        <v>2410900401</v>
      </c>
      <c r="I417" s="6" t="s">
        <v>1361</v>
      </c>
      <c r="J417" s="6">
        <v>24</v>
      </c>
      <c r="K417" s="6">
        <v>12</v>
      </c>
      <c r="L417" s="6" t="s">
        <v>15</v>
      </c>
      <c r="M417" s="6" t="s">
        <v>37</v>
      </c>
      <c r="N417" s="6" t="str">
        <f>VLOOKUP(Table1[[#This Row],[elevator_traction_machine]],'Product inf'!A:B,2,FALSE)</f>
        <v>SP015</v>
      </c>
      <c r="O417" s="6" t="s">
        <v>3</v>
      </c>
      <c r="P417" s="6" t="s">
        <v>9</v>
      </c>
      <c r="Q417" s="6" t="s">
        <v>70</v>
      </c>
      <c r="R417" s="6" t="s">
        <v>68</v>
      </c>
      <c r="S417" s="6">
        <v>375000000</v>
      </c>
      <c r="U417" s="6">
        <v>375000000</v>
      </c>
      <c r="V417" s="6">
        <v>376000000</v>
      </c>
      <c r="Y417" s="6">
        <v>6000000</v>
      </c>
      <c r="Z417" s="8">
        <v>45479</v>
      </c>
      <c r="AA417" s="6" t="s">
        <v>2003</v>
      </c>
    </row>
    <row r="418" spans="1:27" x14ac:dyDescent="0.25">
      <c r="A418" s="8">
        <v>45761</v>
      </c>
      <c r="B418" s="6" t="s">
        <v>290</v>
      </c>
      <c r="C418" s="6" t="s">
        <v>1807</v>
      </c>
      <c r="D418" s="6" t="s">
        <v>36</v>
      </c>
      <c r="E418" s="6" t="str">
        <f>VLOOKUP(D418,'shipping inf'!B:D,2,FALSE)</f>
        <v>TP Hồ Chí Minh</v>
      </c>
      <c r="F418" s="6" t="s">
        <v>1332</v>
      </c>
      <c r="G418" s="6">
        <v>60</v>
      </c>
      <c r="H418" s="6">
        <v>2510900401</v>
      </c>
      <c r="I418" s="6" t="s">
        <v>1361</v>
      </c>
      <c r="J418" s="6">
        <v>24</v>
      </c>
      <c r="K418" s="6">
        <v>24</v>
      </c>
      <c r="L418" s="6" t="s">
        <v>19</v>
      </c>
      <c r="M418" s="6" t="s">
        <v>37</v>
      </c>
      <c r="N418" s="6" t="str">
        <f>VLOOKUP(Table1[[#This Row],[elevator_traction_machine]],'Product inf'!A:B,2,FALSE)</f>
        <v>SP006</v>
      </c>
      <c r="O418" s="6" t="s">
        <v>3</v>
      </c>
      <c r="P418" s="6" t="s">
        <v>9</v>
      </c>
      <c r="Q418" s="6" t="s">
        <v>67</v>
      </c>
      <c r="R418" s="6" t="s">
        <v>68</v>
      </c>
      <c r="S418" s="6">
        <v>393000000</v>
      </c>
      <c r="U418" s="6">
        <v>393000000</v>
      </c>
      <c r="V418" s="6">
        <v>389000000</v>
      </c>
      <c r="X418" s="6">
        <v>10000000</v>
      </c>
      <c r="Y418" s="6">
        <v>10000000</v>
      </c>
      <c r="Z418" s="8">
        <v>45761</v>
      </c>
      <c r="AA418" s="6" t="s">
        <v>2192</v>
      </c>
    </row>
    <row r="419" spans="1:27" x14ac:dyDescent="0.25">
      <c r="A419" s="8">
        <v>46101</v>
      </c>
      <c r="B419" s="6" t="s">
        <v>502</v>
      </c>
      <c r="C419" s="6" t="s">
        <v>1808</v>
      </c>
      <c r="D419" s="6" t="s">
        <v>36</v>
      </c>
      <c r="E419" s="6" t="str">
        <f>VLOOKUP(D419,'shipping inf'!B:D,2,FALSE)</f>
        <v>TP Hồ Chí Minh</v>
      </c>
      <c r="F419" s="6" t="s">
        <v>1333</v>
      </c>
      <c r="G419" s="6">
        <v>90</v>
      </c>
      <c r="H419" s="6">
        <v>2610900401</v>
      </c>
      <c r="I419" s="6" t="s">
        <v>1361</v>
      </c>
      <c r="J419" s="6">
        <v>24</v>
      </c>
      <c r="K419" s="6">
        <v>24</v>
      </c>
      <c r="L419" s="6" t="s">
        <v>19</v>
      </c>
      <c r="M419" s="6" t="s">
        <v>37</v>
      </c>
      <c r="N419" s="6" t="str">
        <f>VLOOKUP(Table1[[#This Row],[elevator_traction_machine]],'Product inf'!A:B,2,FALSE)</f>
        <v>SP006</v>
      </c>
      <c r="O419" s="6" t="s">
        <v>3</v>
      </c>
      <c r="P419" s="6" t="s">
        <v>9</v>
      </c>
      <c r="Q419" s="6" t="s">
        <v>67</v>
      </c>
      <c r="R419" s="6" t="s">
        <v>68</v>
      </c>
      <c r="S419" s="6">
        <v>410000000</v>
      </c>
      <c r="U419" s="6">
        <v>410000000</v>
      </c>
      <c r="V419" s="6">
        <v>414500000</v>
      </c>
      <c r="X419" s="6">
        <v>15000000</v>
      </c>
      <c r="Y419" s="6">
        <v>6000000</v>
      </c>
      <c r="Z419" s="8">
        <v>46105</v>
      </c>
      <c r="AA419" s="6" t="s">
        <v>2423</v>
      </c>
    </row>
    <row r="420" spans="1:27" x14ac:dyDescent="0.25">
      <c r="A420" s="8">
        <v>45464</v>
      </c>
      <c r="B420" s="6" t="s">
        <v>134</v>
      </c>
      <c r="C420" s="6" t="s">
        <v>1809</v>
      </c>
      <c r="D420" s="6" t="s">
        <v>36</v>
      </c>
      <c r="E420" s="6" t="str">
        <f>VLOOKUP(D420,'shipping inf'!B:D,2,FALSE)</f>
        <v>TP Hồ Chí Minh</v>
      </c>
      <c r="F420" s="6" t="s">
        <v>1334</v>
      </c>
      <c r="G420" s="6">
        <v>90</v>
      </c>
      <c r="H420" s="6">
        <v>2410900501</v>
      </c>
      <c r="I420" s="6" t="s">
        <v>1361</v>
      </c>
      <c r="J420" s="6">
        <v>24</v>
      </c>
      <c r="K420" s="6">
        <v>12</v>
      </c>
      <c r="L420" s="6" t="s">
        <v>19</v>
      </c>
      <c r="M420" s="6" t="s">
        <v>37</v>
      </c>
      <c r="N420" s="6" t="str">
        <f>VLOOKUP(Table1[[#This Row],[elevator_traction_machine]],'Product inf'!A:B,2,FALSE)</f>
        <v>SP015</v>
      </c>
      <c r="O420" s="6" t="s">
        <v>3</v>
      </c>
      <c r="P420" s="6" t="s">
        <v>9</v>
      </c>
      <c r="Q420" s="6" t="s">
        <v>70</v>
      </c>
      <c r="R420" s="6" t="s">
        <v>68</v>
      </c>
      <c r="S420" s="6">
        <v>370000000</v>
      </c>
      <c r="U420" s="6">
        <v>370000000</v>
      </c>
      <c r="X420" s="6">
        <v>5000000</v>
      </c>
      <c r="Y420" s="6">
        <v>6000000</v>
      </c>
      <c r="Z420" s="8">
        <v>45468</v>
      </c>
      <c r="AA420" s="6" t="s">
        <v>1982</v>
      </c>
    </row>
    <row r="421" spans="1:27" x14ac:dyDescent="0.25">
      <c r="A421" s="8">
        <v>45756</v>
      </c>
      <c r="B421" s="6" t="s">
        <v>288</v>
      </c>
      <c r="C421" s="6" t="s">
        <v>1810</v>
      </c>
      <c r="D421" s="6" t="s">
        <v>36</v>
      </c>
      <c r="E421" s="6" t="str">
        <f>VLOOKUP(D421,'shipping inf'!B:D,2,FALSE)</f>
        <v>TP Hồ Chí Minh</v>
      </c>
      <c r="F421" s="6" t="s">
        <v>1335</v>
      </c>
      <c r="G421" s="6">
        <v>60</v>
      </c>
      <c r="H421" s="6">
        <v>2510900501</v>
      </c>
      <c r="I421" s="6" t="s">
        <v>1361</v>
      </c>
      <c r="J421" s="6">
        <v>24</v>
      </c>
      <c r="K421" s="6">
        <v>12</v>
      </c>
      <c r="L421" s="6" t="s">
        <v>19</v>
      </c>
      <c r="M421" s="6" t="s">
        <v>37</v>
      </c>
      <c r="N421" s="6" t="str">
        <f>VLOOKUP(Table1[[#This Row],[elevator_traction_machine]],'Product inf'!A:B,2,FALSE)</f>
        <v>SP006</v>
      </c>
      <c r="O421" s="6" t="s">
        <v>3</v>
      </c>
      <c r="P421" s="6" t="s">
        <v>9</v>
      </c>
      <c r="Q421" s="6" t="s">
        <v>67</v>
      </c>
      <c r="R421" s="6" t="s">
        <v>68</v>
      </c>
      <c r="S421" s="6">
        <v>350000000</v>
      </c>
      <c r="U421" s="6">
        <v>350000000</v>
      </c>
      <c r="V421" s="6">
        <v>345000000</v>
      </c>
      <c r="X421" s="6">
        <v>20000000</v>
      </c>
      <c r="Y421" s="6">
        <v>10000000</v>
      </c>
      <c r="Z421" s="8">
        <v>45756</v>
      </c>
      <c r="AA421" s="6" t="s">
        <v>2192</v>
      </c>
    </row>
    <row r="422" spans="1:27" x14ac:dyDescent="0.25">
      <c r="A422" s="8">
        <v>45490</v>
      </c>
      <c r="B422" s="6" t="s">
        <v>152</v>
      </c>
      <c r="C422" s="6" t="s">
        <v>1811</v>
      </c>
      <c r="D422" s="6" t="s">
        <v>47</v>
      </c>
      <c r="E422" s="6" t="str">
        <f>VLOOKUP(D422,'shipping inf'!B:D,2,FALSE)</f>
        <v>Tây Ninh</v>
      </c>
      <c r="F422" s="6" t="s">
        <v>1336</v>
      </c>
      <c r="G422" s="6">
        <v>60</v>
      </c>
      <c r="H422" s="6">
        <v>2410900601</v>
      </c>
      <c r="I422" s="6" t="s">
        <v>1361</v>
      </c>
      <c r="J422" s="6">
        <v>24</v>
      </c>
      <c r="K422" s="6">
        <v>24</v>
      </c>
      <c r="L422" s="6" t="s">
        <v>15</v>
      </c>
      <c r="M422" s="6" t="s">
        <v>37</v>
      </c>
      <c r="N422" s="6" t="str">
        <f>VLOOKUP(Table1[[#This Row],[elevator_traction_machine]],'Product inf'!A:B,2,FALSE)</f>
        <v>SP015</v>
      </c>
      <c r="O422" s="6" t="s">
        <v>3</v>
      </c>
      <c r="P422" s="6" t="s">
        <v>9</v>
      </c>
      <c r="Q422" s="6" t="s">
        <v>70</v>
      </c>
      <c r="R422" s="6" t="s">
        <v>68</v>
      </c>
      <c r="S422" s="6">
        <v>370000000</v>
      </c>
      <c r="U422" s="6">
        <v>370000000</v>
      </c>
      <c r="V422" s="6">
        <v>389300000</v>
      </c>
      <c r="X422" s="6">
        <v>5000000</v>
      </c>
      <c r="Y422" s="6">
        <v>6000000</v>
      </c>
      <c r="Z422" s="8">
        <v>45492</v>
      </c>
      <c r="AA422" s="6" t="s">
        <v>2003</v>
      </c>
    </row>
    <row r="423" spans="1:27" x14ac:dyDescent="0.25">
      <c r="A423" s="8">
        <v>45824</v>
      </c>
      <c r="B423" s="6" t="s">
        <v>326</v>
      </c>
      <c r="C423" s="6" t="s">
        <v>1812</v>
      </c>
      <c r="D423" s="6" t="s">
        <v>44</v>
      </c>
      <c r="E423" s="6" t="str">
        <f>VLOOKUP(D423,'shipping inf'!B:D,2,FALSE)</f>
        <v>Lâm Đồng</v>
      </c>
      <c r="F423" s="6" t="s">
        <v>1337</v>
      </c>
      <c r="G423" s="6">
        <v>90</v>
      </c>
      <c r="H423" s="6">
        <v>2510900601</v>
      </c>
      <c r="I423" s="6" t="s">
        <v>1361</v>
      </c>
      <c r="J423" s="6">
        <v>24</v>
      </c>
      <c r="K423" s="6">
        <v>24</v>
      </c>
      <c r="L423" s="6" t="s">
        <v>15</v>
      </c>
      <c r="M423" s="6" t="s">
        <v>37</v>
      </c>
      <c r="N423" s="6" t="str">
        <f>VLOOKUP(Table1[[#This Row],[elevator_traction_machine]],'Product inf'!A:B,2,FALSE)</f>
        <v>SP006</v>
      </c>
      <c r="O423" s="6" t="s">
        <v>3</v>
      </c>
      <c r="P423" s="6" t="s">
        <v>9</v>
      </c>
      <c r="Q423" s="6" t="s">
        <v>67</v>
      </c>
      <c r="R423" s="6" t="s">
        <v>267</v>
      </c>
      <c r="S423" s="6">
        <v>470000000</v>
      </c>
      <c r="T423" s="6">
        <v>37600000</v>
      </c>
      <c r="U423" s="6">
        <v>507600000</v>
      </c>
      <c r="V423" s="6">
        <v>471064000</v>
      </c>
      <c r="X423" s="6">
        <v>5000000</v>
      </c>
      <c r="Y423" s="6">
        <v>6000000</v>
      </c>
      <c r="Z423" s="8">
        <v>45824</v>
      </c>
      <c r="AA423" s="6" t="s">
        <v>2234</v>
      </c>
    </row>
    <row r="424" spans="1:27" x14ac:dyDescent="0.25">
      <c r="A424" s="8">
        <v>45505</v>
      </c>
      <c r="B424" s="6" t="s">
        <v>166</v>
      </c>
      <c r="C424" s="6" t="s">
        <v>1813</v>
      </c>
      <c r="D424" s="6" t="s">
        <v>45</v>
      </c>
      <c r="E424" s="6" t="str">
        <f>VLOOKUP(D424,'shipping inf'!B:D,2,FALSE)</f>
        <v>Cần Thơ</v>
      </c>
      <c r="F424" s="6" t="s">
        <v>1338</v>
      </c>
      <c r="G424" s="6">
        <v>90</v>
      </c>
      <c r="H424" s="6">
        <v>2410900701</v>
      </c>
      <c r="I424" s="6" t="s">
        <v>1361</v>
      </c>
      <c r="J424" s="6">
        <v>24</v>
      </c>
      <c r="K424" s="6">
        <v>12</v>
      </c>
      <c r="L424" s="6" t="s">
        <v>17</v>
      </c>
      <c r="M424" s="6" t="s">
        <v>37</v>
      </c>
      <c r="N424" s="6" t="str">
        <f>VLOOKUP(Table1[[#This Row],[elevator_traction_machine]],'Product inf'!A:B,2,FALSE)</f>
        <v>SP015</v>
      </c>
      <c r="O424" s="6" t="s">
        <v>3</v>
      </c>
      <c r="P424" s="6" t="s">
        <v>9</v>
      </c>
      <c r="Q424" s="6" t="s">
        <v>70</v>
      </c>
      <c r="R424" s="6" t="s">
        <v>68</v>
      </c>
      <c r="S424" s="6">
        <v>565000000</v>
      </c>
      <c r="U424" s="6">
        <v>565000000</v>
      </c>
      <c r="V424" s="6">
        <v>546386000</v>
      </c>
      <c r="X424" s="6">
        <v>25000000</v>
      </c>
      <c r="Y424" s="6">
        <v>10000000</v>
      </c>
      <c r="Z424" s="8">
        <v>45511</v>
      </c>
      <c r="AA424" s="6" t="s">
        <v>2024</v>
      </c>
    </row>
    <row r="425" spans="1:27" x14ac:dyDescent="0.25">
      <c r="A425" s="8">
        <v>45819</v>
      </c>
      <c r="B425" s="6" t="s">
        <v>322</v>
      </c>
      <c r="C425" s="6" t="s">
        <v>1814</v>
      </c>
      <c r="D425" s="6" t="s">
        <v>36</v>
      </c>
      <c r="E425" s="6" t="str">
        <f>VLOOKUP(D425,'shipping inf'!B:D,2,FALSE)</f>
        <v>TP Hồ Chí Minh</v>
      </c>
      <c r="F425" s="6" t="s">
        <v>1339</v>
      </c>
      <c r="G425" s="6">
        <v>90</v>
      </c>
      <c r="H425" s="6">
        <v>2510900701</v>
      </c>
      <c r="I425" s="6" t="s">
        <v>1361</v>
      </c>
      <c r="J425" s="6">
        <v>24</v>
      </c>
      <c r="K425" s="6">
        <v>24</v>
      </c>
      <c r="L425" s="6" t="s">
        <v>19</v>
      </c>
      <c r="M425" s="6" t="s">
        <v>37</v>
      </c>
      <c r="N425" s="6" t="str">
        <f>VLOOKUP(Table1[[#This Row],[elevator_traction_machine]],'Product inf'!A:B,2,FALSE)</f>
        <v>SP006</v>
      </c>
      <c r="O425" s="6" t="s">
        <v>3</v>
      </c>
      <c r="P425" s="6" t="s">
        <v>9</v>
      </c>
      <c r="Q425" s="6" t="s">
        <v>67</v>
      </c>
      <c r="R425" s="6" t="s">
        <v>68</v>
      </c>
      <c r="S425" s="6">
        <v>365000000</v>
      </c>
      <c r="U425" s="6">
        <v>365000000</v>
      </c>
      <c r="V425" s="6">
        <v>346000000</v>
      </c>
      <c r="X425" s="6">
        <v>15000000</v>
      </c>
      <c r="Y425" s="6">
        <v>10000000</v>
      </c>
      <c r="Z425" s="8">
        <v>45819</v>
      </c>
      <c r="AA425" s="6" t="s">
        <v>2234</v>
      </c>
    </row>
    <row r="426" spans="1:27" x14ac:dyDescent="0.25">
      <c r="A426" s="8">
        <v>45523</v>
      </c>
      <c r="B426" s="6" t="s">
        <v>178</v>
      </c>
      <c r="C426" s="6" t="s">
        <v>1815</v>
      </c>
      <c r="D426" s="6" t="s">
        <v>36</v>
      </c>
      <c r="E426" s="6" t="str">
        <f>VLOOKUP(D426,'shipping inf'!B:D,2,FALSE)</f>
        <v>TP Hồ Chí Minh</v>
      </c>
      <c r="F426" s="6" t="s">
        <v>1340</v>
      </c>
      <c r="G426" s="6">
        <v>120</v>
      </c>
      <c r="H426" s="6">
        <v>2410900801</v>
      </c>
      <c r="I426" s="6" t="s">
        <v>1361</v>
      </c>
      <c r="J426" s="6">
        <v>36</v>
      </c>
      <c r="K426" s="6">
        <v>36</v>
      </c>
      <c r="L426" s="6" t="s">
        <v>15</v>
      </c>
      <c r="M426" s="6" t="s">
        <v>37</v>
      </c>
      <c r="N426" s="6" t="str">
        <f>VLOOKUP(Table1[[#This Row],[elevator_traction_machine]],'Product inf'!A:B,2,FALSE)</f>
        <v>SP015</v>
      </c>
      <c r="O426" s="6" t="s">
        <v>3</v>
      </c>
      <c r="P426" s="6" t="s">
        <v>9</v>
      </c>
      <c r="Q426" s="6" t="s">
        <v>70</v>
      </c>
      <c r="R426" s="6" t="s">
        <v>68</v>
      </c>
      <c r="S426" s="6">
        <v>350000000</v>
      </c>
      <c r="U426" s="6">
        <v>350000000</v>
      </c>
      <c r="V426" s="6">
        <v>352900000</v>
      </c>
      <c r="Y426" s="6">
        <v>6000000</v>
      </c>
      <c r="Z426" s="8">
        <v>45531</v>
      </c>
      <c r="AA426" s="6" t="s">
        <v>2024</v>
      </c>
    </row>
    <row r="427" spans="1:27" x14ac:dyDescent="0.25">
      <c r="A427" s="8">
        <v>45828</v>
      </c>
      <c r="B427" s="6" t="s">
        <v>331</v>
      </c>
      <c r="C427" s="6" t="s">
        <v>1816</v>
      </c>
      <c r="D427" s="6" t="s">
        <v>36</v>
      </c>
      <c r="E427" s="6" t="str">
        <f>VLOOKUP(D427,'shipping inf'!B:D,2,FALSE)</f>
        <v>TP Hồ Chí Minh</v>
      </c>
      <c r="F427" s="6" t="s">
        <v>1341</v>
      </c>
      <c r="G427" s="6">
        <v>120</v>
      </c>
      <c r="H427" s="6">
        <v>2510900801</v>
      </c>
      <c r="I427" s="6" t="s">
        <v>1361</v>
      </c>
      <c r="J427" s="6">
        <v>24</v>
      </c>
      <c r="K427" s="6">
        <v>24</v>
      </c>
      <c r="L427" s="6" t="s">
        <v>19</v>
      </c>
      <c r="M427" s="6" t="s">
        <v>37</v>
      </c>
      <c r="N427" s="6" t="str">
        <f>VLOOKUP(Table1[[#This Row],[elevator_traction_machine]],'Product inf'!A:B,2,FALSE)</f>
        <v>SP006</v>
      </c>
      <c r="O427" s="6" t="s">
        <v>3</v>
      </c>
      <c r="P427" s="6" t="s">
        <v>9</v>
      </c>
      <c r="Q427" s="6" t="s">
        <v>67</v>
      </c>
      <c r="R427" s="6" t="s">
        <v>68</v>
      </c>
      <c r="S427" s="6">
        <v>354500000</v>
      </c>
      <c r="U427" s="6">
        <v>354500000</v>
      </c>
      <c r="V427" s="6">
        <v>377000000</v>
      </c>
      <c r="W427" s="6">
        <v>25000000</v>
      </c>
      <c r="X427" s="6">
        <v>5000000</v>
      </c>
      <c r="Y427" s="6">
        <v>10000000</v>
      </c>
      <c r="Z427" s="8">
        <v>45832</v>
      </c>
      <c r="AA427" s="6" t="s">
        <v>2234</v>
      </c>
    </row>
    <row r="428" spans="1:27" x14ac:dyDescent="0.25">
      <c r="A428" s="8">
        <v>45560</v>
      </c>
      <c r="B428" s="6" t="s">
        <v>192</v>
      </c>
      <c r="C428" s="6" t="s">
        <v>1817</v>
      </c>
      <c r="D428" s="6" t="s">
        <v>36</v>
      </c>
      <c r="E428" s="6" t="str">
        <f>VLOOKUP(D428,'shipping inf'!B:D,2,FALSE)</f>
        <v>TP Hồ Chí Minh</v>
      </c>
      <c r="F428" s="6" t="s">
        <v>1342</v>
      </c>
      <c r="G428" s="6">
        <v>60</v>
      </c>
      <c r="H428" s="6">
        <v>2410900901</v>
      </c>
      <c r="I428" s="6" t="s">
        <v>1361</v>
      </c>
      <c r="J428" s="6">
        <v>24</v>
      </c>
      <c r="K428" s="6">
        <v>24</v>
      </c>
      <c r="L428" s="6" t="s">
        <v>19</v>
      </c>
      <c r="M428" s="6" t="s">
        <v>37</v>
      </c>
      <c r="N428" s="6" t="str">
        <f>VLOOKUP(Table1[[#This Row],[elevator_traction_machine]],'Product inf'!A:B,2,FALSE)</f>
        <v>SP015</v>
      </c>
      <c r="O428" s="6" t="s">
        <v>3</v>
      </c>
      <c r="P428" s="6" t="s">
        <v>9</v>
      </c>
      <c r="Q428" s="6" t="s">
        <v>70</v>
      </c>
      <c r="R428" s="6" t="s">
        <v>68</v>
      </c>
      <c r="S428" s="6">
        <v>436000000</v>
      </c>
      <c r="U428" s="6">
        <v>436000000</v>
      </c>
      <c r="V428" s="6">
        <v>434000000</v>
      </c>
      <c r="X428" s="6">
        <v>10000000</v>
      </c>
      <c r="Y428" s="6">
        <v>10000000</v>
      </c>
      <c r="Z428" s="8">
        <v>45561</v>
      </c>
      <c r="AA428" s="6" t="s">
        <v>2045</v>
      </c>
    </row>
    <row r="429" spans="1:27" x14ac:dyDescent="0.25">
      <c r="A429" s="8">
        <v>45833</v>
      </c>
      <c r="B429" s="6" t="s">
        <v>333</v>
      </c>
      <c r="C429" s="6" t="s">
        <v>1818</v>
      </c>
      <c r="D429" s="6" t="s">
        <v>36</v>
      </c>
      <c r="E429" s="6" t="str">
        <f>VLOOKUP(D429,'shipping inf'!B:D,2,FALSE)</f>
        <v>TP Hồ Chí Minh</v>
      </c>
      <c r="F429" s="6" t="s">
        <v>1343</v>
      </c>
      <c r="G429" s="6">
        <v>90</v>
      </c>
      <c r="H429" s="6">
        <v>2510900901</v>
      </c>
      <c r="I429" s="6" t="s">
        <v>1361</v>
      </c>
      <c r="J429" s="6">
        <v>24</v>
      </c>
      <c r="K429" s="6">
        <v>24</v>
      </c>
      <c r="L429" s="6" t="s">
        <v>19</v>
      </c>
      <c r="M429" s="6" t="s">
        <v>37</v>
      </c>
      <c r="N429" s="6" t="str">
        <f>VLOOKUP(Table1[[#This Row],[elevator_traction_machine]],'Product inf'!A:B,2,FALSE)</f>
        <v>SP006</v>
      </c>
      <c r="O429" s="6" t="s">
        <v>8</v>
      </c>
      <c r="P429" s="6" t="s">
        <v>9</v>
      </c>
      <c r="Q429" s="6" t="s">
        <v>67</v>
      </c>
      <c r="R429" s="6" t="s">
        <v>68</v>
      </c>
      <c r="S429" s="6">
        <v>380000000</v>
      </c>
      <c r="U429" s="6">
        <v>380000000</v>
      </c>
      <c r="V429" s="6">
        <v>400000000</v>
      </c>
      <c r="W429" s="6">
        <v>20000000</v>
      </c>
      <c r="X429" s="6">
        <v>8000000</v>
      </c>
      <c r="Y429" s="6">
        <v>10000000</v>
      </c>
      <c r="Z429" s="8">
        <v>45833</v>
      </c>
      <c r="AA429" s="6" t="s">
        <v>2234</v>
      </c>
    </row>
    <row r="430" spans="1:27" x14ac:dyDescent="0.25">
      <c r="A430" s="8">
        <v>45582</v>
      </c>
      <c r="B430" s="6" t="s">
        <v>210</v>
      </c>
      <c r="C430" s="6" t="s">
        <v>1819</v>
      </c>
      <c r="D430" s="6" t="s">
        <v>35</v>
      </c>
      <c r="E430" s="6" t="str">
        <f>VLOOKUP(D430,'shipping inf'!B:D,2,FALSE)</f>
        <v>TP Hồ Chí Minh</v>
      </c>
      <c r="F430" s="6" t="s">
        <v>1344</v>
      </c>
      <c r="G430" s="6">
        <v>90</v>
      </c>
      <c r="H430" s="6">
        <v>2410901001</v>
      </c>
      <c r="I430" s="6" t="s">
        <v>1361</v>
      </c>
      <c r="J430" s="6">
        <v>24</v>
      </c>
      <c r="K430" s="6">
        <v>24</v>
      </c>
      <c r="L430" s="6" t="s">
        <v>19</v>
      </c>
      <c r="M430" s="6" t="s">
        <v>37</v>
      </c>
      <c r="N430" s="6" t="str">
        <f>VLOOKUP(Table1[[#This Row],[elevator_traction_machine]],'Product inf'!A:B,2,FALSE)</f>
        <v>SP015</v>
      </c>
      <c r="O430" s="6" t="s">
        <v>3</v>
      </c>
      <c r="P430" s="6" t="s">
        <v>9</v>
      </c>
      <c r="Q430" s="6" t="s">
        <v>70</v>
      </c>
      <c r="R430" s="6" t="s">
        <v>68</v>
      </c>
      <c r="S430" s="6">
        <v>430000000</v>
      </c>
      <c r="U430" s="6">
        <v>430000000</v>
      </c>
      <c r="V430" s="6">
        <v>401000000</v>
      </c>
      <c r="X430" s="6">
        <v>25000000</v>
      </c>
      <c r="Y430" s="6">
        <v>10000000</v>
      </c>
      <c r="Z430" s="8">
        <v>45582</v>
      </c>
      <c r="AA430" s="6" t="s">
        <v>2066</v>
      </c>
    </row>
    <row r="431" spans="1:27" x14ac:dyDescent="0.25">
      <c r="A431" s="8">
        <v>45840</v>
      </c>
      <c r="B431" s="6" t="s">
        <v>342</v>
      </c>
      <c r="C431" s="6" t="s">
        <v>1820</v>
      </c>
      <c r="D431" s="6" t="s">
        <v>36</v>
      </c>
      <c r="E431" s="6" t="str">
        <f>VLOOKUP(D431,'shipping inf'!B:D,2,FALSE)</f>
        <v>TP Hồ Chí Minh</v>
      </c>
      <c r="F431" s="6" t="s">
        <v>1345</v>
      </c>
      <c r="G431" s="6">
        <v>120</v>
      </c>
      <c r="H431" s="6">
        <v>2510901001</v>
      </c>
      <c r="I431" s="6" t="s">
        <v>1361</v>
      </c>
      <c r="J431" s="6">
        <v>24</v>
      </c>
      <c r="K431" s="6">
        <v>24</v>
      </c>
      <c r="L431" s="6" t="s">
        <v>19</v>
      </c>
      <c r="M431" s="6" t="s">
        <v>37</v>
      </c>
      <c r="N431" s="6" t="str">
        <f>VLOOKUP(Table1[[#This Row],[elevator_traction_machine]],'Product inf'!A:B,2,FALSE)</f>
        <v>SP006</v>
      </c>
      <c r="O431" s="6" t="s">
        <v>3</v>
      </c>
      <c r="P431" s="6" t="s">
        <v>9</v>
      </c>
      <c r="Q431" s="6" t="s">
        <v>67</v>
      </c>
      <c r="R431" s="6" t="s">
        <v>68</v>
      </c>
      <c r="S431" s="6">
        <v>478000000</v>
      </c>
      <c r="U431" s="6">
        <v>478000000</v>
      </c>
      <c r="V431" s="6">
        <v>497100000</v>
      </c>
      <c r="W431" s="6">
        <v>20000000</v>
      </c>
      <c r="X431" s="6">
        <v>15000000</v>
      </c>
      <c r="Y431" s="6">
        <v>10000000</v>
      </c>
      <c r="Z431" s="8">
        <v>45842</v>
      </c>
      <c r="AA431" s="6" t="s">
        <v>2255</v>
      </c>
    </row>
    <row r="432" spans="1:27" x14ac:dyDescent="0.25">
      <c r="A432" s="8">
        <v>45586</v>
      </c>
      <c r="B432" s="6" t="s">
        <v>212</v>
      </c>
      <c r="C432" s="6" t="s">
        <v>1821</v>
      </c>
      <c r="D432" s="6" t="s">
        <v>36</v>
      </c>
      <c r="E432" s="6" t="str">
        <f>VLOOKUP(D432,'shipping inf'!B:D,2,FALSE)</f>
        <v>TP Hồ Chí Minh</v>
      </c>
      <c r="F432" s="6" t="s">
        <v>1346</v>
      </c>
      <c r="G432" s="6">
        <v>90</v>
      </c>
      <c r="H432" s="6">
        <v>2410901101</v>
      </c>
      <c r="I432" s="6" t="s">
        <v>1361</v>
      </c>
      <c r="J432" s="6">
        <v>24</v>
      </c>
      <c r="K432" s="6">
        <v>12</v>
      </c>
      <c r="L432" s="6" t="s">
        <v>19</v>
      </c>
      <c r="M432" s="6" t="s">
        <v>37</v>
      </c>
      <c r="N432" s="6" t="str">
        <f>VLOOKUP(Table1[[#This Row],[elevator_traction_machine]],'Product inf'!A:B,2,FALSE)</f>
        <v>SP015</v>
      </c>
      <c r="O432" s="6" t="s">
        <v>3</v>
      </c>
      <c r="P432" s="6" t="s">
        <v>9</v>
      </c>
      <c r="Q432" s="6" t="s">
        <v>70</v>
      </c>
      <c r="R432" s="6" t="s">
        <v>68</v>
      </c>
      <c r="S432" s="6">
        <v>380000000</v>
      </c>
      <c r="U432" s="6">
        <v>380000000</v>
      </c>
      <c r="V432" s="6">
        <v>357500000</v>
      </c>
      <c r="X432" s="6">
        <v>20000000</v>
      </c>
      <c r="Y432" s="6">
        <v>10000000</v>
      </c>
      <c r="Z432" s="8">
        <v>45587</v>
      </c>
      <c r="AA432" s="6" t="s">
        <v>2066</v>
      </c>
    </row>
    <row r="433" spans="1:27" x14ac:dyDescent="0.25">
      <c r="A433" s="8">
        <v>45866</v>
      </c>
      <c r="B433" s="6" t="s">
        <v>363</v>
      </c>
      <c r="C433" s="6" t="s">
        <v>1822</v>
      </c>
      <c r="D433" s="6" t="s">
        <v>36</v>
      </c>
      <c r="E433" s="6" t="str">
        <f>VLOOKUP(D433,'shipping inf'!B:D,2,FALSE)</f>
        <v>TP Hồ Chí Minh</v>
      </c>
      <c r="F433" s="6" t="s">
        <v>1347</v>
      </c>
      <c r="G433" s="6">
        <v>120</v>
      </c>
      <c r="H433" s="6">
        <v>2510901101</v>
      </c>
      <c r="I433" s="6" t="s">
        <v>1361</v>
      </c>
      <c r="J433" s="6">
        <v>24</v>
      </c>
      <c r="K433" s="6">
        <v>12</v>
      </c>
      <c r="L433" s="6" t="s">
        <v>19</v>
      </c>
      <c r="M433" s="6" t="s">
        <v>37</v>
      </c>
      <c r="N433" s="6" t="str">
        <f>VLOOKUP(Table1[[#This Row],[elevator_traction_machine]],'Product inf'!A:B,2,FALSE)</f>
        <v>SP006</v>
      </c>
      <c r="O433" s="6" t="s">
        <v>3</v>
      </c>
      <c r="P433" s="6" t="s">
        <v>9</v>
      </c>
      <c r="Q433" s="6" t="s">
        <v>67</v>
      </c>
      <c r="R433" s="6" t="s">
        <v>68</v>
      </c>
      <c r="S433" s="6">
        <v>400000000</v>
      </c>
      <c r="U433" s="6">
        <v>400000000</v>
      </c>
      <c r="V433" s="6">
        <v>389500000</v>
      </c>
      <c r="X433" s="6">
        <v>10000000</v>
      </c>
      <c r="Y433" s="6">
        <v>10000000</v>
      </c>
      <c r="Z433" s="8">
        <v>45870</v>
      </c>
      <c r="AA433" s="6" t="s">
        <v>2255</v>
      </c>
    </row>
    <row r="434" spans="1:27" x14ac:dyDescent="0.25">
      <c r="A434" s="8">
        <v>45604</v>
      </c>
      <c r="B434" s="6" t="s">
        <v>223</v>
      </c>
      <c r="C434" s="6" t="s">
        <v>1823</v>
      </c>
      <c r="D434" s="6" t="s">
        <v>36</v>
      </c>
      <c r="E434" s="6" t="str">
        <f>VLOOKUP(D434,'shipping inf'!B:D,2,FALSE)</f>
        <v>TP Hồ Chí Minh</v>
      </c>
      <c r="F434" s="6" t="s">
        <v>1348</v>
      </c>
      <c r="G434" s="6">
        <v>75</v>
      </c>
      <c r="H434" s="6">
        <v>2410901201</v>
      </c>
      <c r="I434" s="6" t="s">
        <v>1361</v>
      </c>
      <c r="J434" s="6">
        <v>24</v>
      </c>
      <c r="K434" s="6">
        <v>24</v>
      </c>
      <c r="L434" s="6" t="s">
        <v>15</v>
      </c>
      <c r="M434" s="6" t="s">
        <v>37</v>
      </c>
      <c r="N434" s="6" t="str">
        <f>VLOOKUP(Table1[[#This Row],[elevator_traction_machine]],'Product inf'!A:B,2,FALSE)</f>
        <v>SP015</v>
      </c>
      <c r="O434" s="6" t="s">
        <v>3</v>
      </c>
      <c r="P434" s="6" t="s">
        <v>9</v>
      </c>
      <c r="Q434" s="6" t="s">
        <v>70</v>
      </c>
      <c r="R434" s="6" t="s">
        <v>68</v>
      </c>
      <c r="S434" s="6">
        <v>400000000</v>
      </c>
      <c r="U434" s="6">
        <v>400000000</v>
      </c>
      <c r="V434" s="6">
        <v>404500000</v>
      </c>
      <c r="Y434" s="6">
        <v>6000000</v>
      </c>
      <c r="Z434" s="8">
        <v>45607</v>
      </c>
      <c r="AA434" s="6" t="s">
        <v>2087</v>
      </c>
    </row>
    <row r="435" spans="1:27" x14ac:dyDescent="0.25">
      <c r="A435" s="8">
        <v>45877</v>
      </c>
      <c r="B435" s="6" t="s">
        <v>379</v>
      </c>
      <c r="C435" s="6" t="s">
        <v>1824</v>
      </c>
      <c r="D435" s="6" t="s">
        <v>36</v>
      </c>
      <c r="E435" s="6" t="str">
        <f>VLOOKUP(D435,'shipping inf'!B:D,2,FALSE)</f>
        <v>TP Hồ Chí Minh</v>
      </c>
      <c r="F435" s="6" t="s">
        <v>1292</v>
      </c>
      <c r="G435" s="6">
        <v>120</v>
      </c>
      <c r="H435" s="6">
        <v>2510901201</v>
      </c>
      <c r="I435" s="6" t="s">
        <v>1361</v>
      </c>
      <c r="J435" s="6">
        <v>24</v>
      </c>
      <c r="K435" s="6">
        <v>12</v>
      </c>
      <c r="L435" s="6" t="s">
        <v>19</v>
      </c>
      <c r="M435" s="6" t="s">
        <v>37</v>
      </c>
      <c r="N435" s="6" t="str">
        <f>VLOOKUP(Table1[[#This Row],[elevator_traction_machine]],'Product inf'!A:B,2,FALSE)</f>
        <v>SP015</v>
      </c>
      <c r="O435" s="6" t="s">
        <v>3</v>
      </c>
      <c r="P435" s="6" t="s">
        <v>9</v>
      </c>
      <c r="Q435" s="6" t="s">
        <v>70</v>
      </c>
      <c r="R435" s="6" t="s">
        <v>68</v>
      </c>
      <c r="S435" s="6">
        <v>355000000</v>
      </c>
      <c r="U435" s="6">
        <v>355000000</v>
      </c>
      <c r="V435" s="6">
        <v>347500000</v>
      </c>
      <c r="X435" s="6">
        <v>8000000</v>
      </c>
      <c r="Y435" s="6">
        <v>10000000</v>
      </c>
      <c r="Z435" s="8">
        <v>45897</v>
      </c>
      <c r="AA435" s="6" t="s">
        <v>2276</v>
      </c>
    </row>
    <row r="436" spans="1:27" x14ac:dyDescent="0.25">
      <c r="A436" s="8">
        <v>45609</v>
      </c>
      <c r="B436" s="6" t="s">
        <v>225</v>
      </c>
      <c r="C436" s="6" t="s">
        <v>1825</v>
      </c>
      <c r="D436" s="6" t="s">
        <v>36</v>
      </c>
      <c r="E436" s="6" t="str">
        <f>VLOOKUP(D436,'shipping inf'!B:D,2,FALSE)</f>
        <v>TP Hồ Chí Minh</v>
      </c>
      <c r="F436" s="6" t="s">
        <v>672</v>
      </c>
      <c r="G436" s="6">
        <v>90</v>
      </c>
      <c r="H436" s="6">
        <v>2410901301</v>
      </c>
      <c r="I436" s="6" t="s">
        <v>1361</v>
      </c>
      <c r="J436" s="6">
        <v>24</v>
      </c>
      <c r="K436" s="6">
        <v>24</v>
      </c>
      <c r="L436" s="6" t="s">
        <v>19</v>
      </c>
      <c r="M436" s="6" t="s">
        <v>37</v>
      </c>
      <c r="N436" s="6" t="str">
        <f>VLOOKUP(Table1[[#This Row],[elevator_traction_machine]],'Product inf'!A:B,2,FALSE)</f>
        <v>SP006</v>
      </c>
      <c r="O436" s="6" t="s">
        <v>8</v>
      </c>
      <c r="P436" s="6" t="s">
        <v>9</v>
      </c>
      <c r="Q436" s="6" t="s">
        <v>67</v>
      </c>
      <c r="R436" s="6" t="s">
        <v>68</v>
      </c>
      <c r="S436" s="6">
        <v>377000000</v>
      </c>
      <c r="U436" s="6">
        <v>377000000</v>
      </c>
      <c r="V436" s="6">
        <v>375500000</v>
      </c>
      <c r="X436" s="6">
        <v>5000000</v>
      </c>
      <c r="Y436" s="6">
        <v>8000000</v>
      </c>
      <c r="Z436" s="8">
        <v>45610</v>
      </c>
      <c r="AA436" s="6" t="s">
        <v>2087</v>
      </c>
    </row>
    <row r="437" spans="1:27" x14ac:dyDescent="0.25">
      <c r="A437" s="8">
        <v>45894</v>
      </c>
      <c r="B437" s="6" t="s">
        <v>381</v>
      </c>
      <c r="C437" s="6" t="s">
        <v>1826</v>
      </c>
      <c r="D437" s="6" t="s">
        <v>36</v>
      </c>
      <c r="E437" s="6" t="str">
        <f>VLOOKUP(D437,'shipping inf'!B:D,2,FALSE)</f>
        <v>TP Hồ Chí Minh</v>
      </c>
      <c r="F437" s="6" t="s">
        <v>1349</v>
      </c>
      <c r="G437" s="6">
        <v>75</v>
      </c>
      <c r="H437" s="6">
        <v>2510901301</v>
      </c>
      <c r="I437" s="6" t="s">
        <v>1361</v>
      </c>
      <c r="J437" s="6">
        <v>24</v>
      </c>
      <c r="K437" s="6">
        <v>24</v>
      </c>
      <c r="L437" s="6" t="s">
        <v>19</v>
      </c>
      <c r="M437" s="6" t="s">
        <v>37</v>
      </c>
      <c r="N437" s="6" t="str">
        <f>VLOOKUP(Table1[[#This Row],[elevator_traction_machine]],'Product inf'!A:B,2,FALSE)</f>
        <v>SP015</v>
      </c>
      <c r="O437" s="6" t="s">
        <v>8</v>
      </c>
      <c r="P437" s="6" t="s">
        <v>9</v>
      </c>
      <c r="Q437" s="6" t="s">
        <v>70</v>
      </c>
      <c r="R437" s="6" t="s">
        <v>267</v>
      </c>
      <c r="S437" s="6">
        <v>486500000</v>
      </c>
      <c r="U437" s="6">
        <v>486500000</v>
      </c>
      <c r="V437" s="6">
        <v>462000000</v>
      </c>
      <c r="X437" s="6">
        <v>24000000</v>
      </c>
      <c r="Y437" s="6">
        <v>10000000</v>
      </c>
      <c r="Z437" s="8">
        <v>45898</v>
      </c>
      <c r="AA437" s="6" t="s">
        <v>2276</v>
      </c>
    </row>
    <row r="438" spans="1:27" x14ac:dyDescent="0.25">
      <c r="A438" s="8">
        <v>45931</v>
      </c>
      <c r="B438" s="6" t="s">
        <v>398</v>
      </c>
      <c r="C438" s="6" t="s">
        <v>1827</v>
      </c>
      <c r="D438" s="6" t="s">
        <v>36</v>
      </c>
      <c r="E438" s="6" t="str">
        <f>VLOOKUP(D438,'shipping inf'!B:D,2,FALSE)</f>
        <v>TP Hồ Chí Minh</v>
      </c>
      <c r="F438" s="6" t="s">
        <v>1350</v>
      </c>
      <c r="G438" s="6">
        <v>90</v>
      </c>
      <c r="H438" s="6">
        <v>2510901401</v>
      </c>
      <c r="I438" s="6" t="s">
        <v>1361</v>
      </c>
      <c r="J438" s="6">
        <v>24</v>
      </c>
      <c r="K438" s="6">
        <v>24</v>
      </c>
      <c r="L438" s="6" t="s">
        <v>19</v>
      </c>
      <c r="M438" s="6" t="s">
        <v>37</v>
      </c>
      <c r="N438" s="6" t="str">
        <f>VLOOKUP(Table1[[#This Row],[elevator_traction_machine]],'Product inf'!A:B,2,FALSE)</f>
        <v>SP006</v>
      </c>
      <c r="O438" s="6" t="s">
        <v>3</v>
      </c>
      <c r="P438" s="6" t="s">
        <v>9</v>
      </c>
      <c r="Q438" s="6" t="s">
        <v>67</v>
      </c>
      <c r="R438" s="6" t="s">
        <v>267</v>
      </c>
      <c r="S438" s="6">
        <v>405000000</v>
      </c>
      <c r="U438" s="6">
        <v>405000000</v>
      </c>
      <c r="V438" s="6">
        <v>385000000</v>
      </c>
      <c r="X438" s="6">
        <v>20000000</v>
      </c>
      <c r="Y438" s="6">
        <v>10000000</v>
      </c>
      <c r="Z438" s="8">
        <v>45931</v>
      </c>
      <c r="AA438" s="6" t="s">
        <v>2318</v>
      </c>
    </row>
    <row r="439" spans="1:27" x14ac:dyDescent="0.25">
      <c r="A439" s="8">
        <v>45960</v>
      </c>
      <c r="B439" s="6" t="s">
        <v>428</v>
      </c>
      <c r="C439" s="6" t="s">
        <v>1828</v>
      </c>
      <c r="D439" s="6" t="s">
        <v>36</v>
      </c>
      <c r="E439" s="6" t="str">
        <f>VLOOKUP(D439,'shipping inf'!B:D,2,FALSE)</f>
        <v>TP Hồ Chí Minh</v>
      </c>
      <c r="F439" s="6" t="s">
        <v>1351</v>
      </c>
      <c r="G439" s="6">
        <v>90</v>
      </c>
      <c r="H439" s="6">
        <v>2510901501</v>
      </c>
      <c r="I439" s="6" t="s">
        <v>1361</v>
      </c>
      <c r="J439" s="6">
        <v>24</v>
      </c>
      <c r="K439" s="6">
        <v>24</v>
      </c>
      <c r="L439" s="6" t="s">
        <v>19</v>
      </c>
      <c r="M439" s="6" t="s">
        <v>37</v>
      </c>
      <c r="N439" s="6" t="str">
        <f>VLOOKUP(Table1[[#This Row],[elevator_traction_machine]],'Product inf'!A:B,2,FALSE)</f>
        <v>SP015</v>
      </c>
      <c r="O439" s="6" t="s">
        <v>3</v>
      </c>
      <c r="P439" s="6" t="s">
        <v>9</v>
      </c>
      <c r="Q439" s="6" t="s">
        <v>70</v>
      </c>
      <c r="R439" s="6" t="s">
        <v>267</v>
      </c>
      <c r="S439" s="6">
        <v>399000000</v>
      </c>
      <c r="U439" s="6">
        <v>399000000</v>
      </c>
      <c r="V439" s="6">
        <v>396500000</v>
      </c>
      <c r="X439" s="6">
        <v>2500000</v>
      </c>
      <c r="Y439" s="6">
        <v>10000000</v>
      </c>
      <c r="Z439" s="8">
        <v>45960</v>
      </c>
      <c r="AA439" s="6" t="s">
        <v>2318</v>
      </c>
    </row>
    <row r="440" spans="1:27" x14ac:dyDescent="0.25">
      <c r="A440" s="8">
        <v>45947</v>
      </c>
      <c r="B440" s="6" t="s">
        <v>422</v>
      </c>
      <c r="C440" s="6" t="s">
        <v>1829</v>
      </c>
      <c r="D440" s="6" t="s">
        <v>36</v>
      </c>
      <c r="E440" s="6" t="str">
        <f>VLOOKUP(D440,'shipping inf'!B:D,2,FALSE)</f>
        <v>TP Hồ Chí Minh</v>
      </c>
      <c r="F440" s="6" t="s">
        <v>1352</v>
      </c>
      <c r="G440" s="6">
        <v>90</v>
      </c>
      <c r="H440" s="6">
        <v>2510901601</v>
      </c>
      <c r="I440" s="6" t="s">
        <v>1361</v>
      </c>
      <c r="J440" s="6">
        <v>24</v>
      </c>
      <c r="K440" s="6">
        <v>24</v>
      </c>
      <c r="L440" s="6" t="s">
        <v>19</v>
      </c>
      <c r="M440" s="6" t="s">
        <v>37</v>
      </c>
      <c r="N440" s="6" t="str">
        <f>VLOOKUP(Table1[[#This Row],[elevator_traction_machine]],'Product inf'!A:B,2,FALSE)</f>
        <v>SP006</v>
      </c>
      <c r="O440" s="6" t="s">
        <v>3</v>
      </c>
      <c r="P440" s="6" t="s">
        <v>9</v>
      </c>
      <c r="Q440" s="6" t="s">
        <v>67</v>
      </c>
      <c r="R440" s="6" t="s">
        <v>267</v>
      </c>
      <c r="S440" s="6">
        <v>360000000</v>
      </c>
      <c r="U440" s="6">
        <v>360000000</v>
      </c>
      <c r="V440" s="6">
        <v>365500000</v>
      </c>
      <c r="Y440" s="6">
        <v>6000000</v>
      </c>
      <c r="Z440" s="8">
        <v>45948</v>
      </c>
      <c r="AA440" s="6" t="s">
        <v>2318</v>
      </c>
    </row>
    <row r="441" spans="1:27" x14ac:dyDescent="0.25">
      <c r="A441" s="8">
        <v>45962</v>
      </c>
      <c r="B441" s="6" t="s">
        <v>431</v>
      </c>
      <c r="C441" s="6" t="s">
        <v>1830</v>
      </c>
      <c r="D441" s="6" t="s">
        <v>36</v>
      </c>
      <c r="E441" s="6" t="str">
        <f>VLOOKUP(D441,'shipping inf'!B:D,2,FALSE)</f>
        <v>TP Hồ Chí Minh</v>
      </c>
      <c r="F441" s="6" t="s">
        <v>1353</v>
      </c>
      <c r="G441" s="6">
        <v>60</v>
      </c>
      <c r="H441" s="6">
        <v>2510901801</v>
      </c>
      <c r="I441" s="6" t="s">
        <v>1361</v>
      </c>
      <c r="J441" s="6">
        <v>24</v>
      </c>
      <c r="K441" s="6">
        <v>12</v>
      </c>
      <c r="L441" s="6" t="s">
        <v>19</v>
      </c>
      <c r="M441" s="6" t="s">
        <v>37</v>
      </c>
      <c r="N441" s="6" t="str">
        <f>VLOOKUP(Table1[[#This Row],[elevator_traction_machine]],'Product inf'!A:B,2,FALSE)</f>
        <v>SP006</v>
      </c>
      <c r="O441" s="6" t="s">
        <v>3</v>
      </c>
      <c r="P441" s="6" t="s">
        <v>9</v>
      </c>
      <c r="Q441" s="6" t="s">
        <v>67</v>
      </c>
      <c r="R441" s="6" t="s">
        <v>68</v>
      </c>
      <c r="S441" s="6">
        <v>400000000</v>
      </c>
      <c r="U441" s="6">
        <v>400000000</v>
      </c>
      <c r="V441" s="6">
        <v>380500000</v>
      </c>
      <c r="X441" s="6">
        <v>19500000</v>
      </c>
      <c r="Y441" s="6">
        <v>10000000</v>
      </c>
      <c r="Z441" s="8">
        <v>45964</v>
      </c>
      <c r="AA441" s="6" t="s">
        <v>2339</v>
      </c>
    </row>
  </sheetData>
  <conditionalFormatting sqref="B2:B1048576">
    <cfRule type="duplicateValues" dxfId="3" priority="2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DEFA5-5CE7-4AF7-B9C0-94D51D40CE5C}">
  <sheetPr>
    <tabColor rgb="FFFFD966"/>
  </sheetPr>
  <dimension ref="A1:H244"/>
  <sheetViews>
    <sheetView topLeftCell="A13" workbookViewId="0">
      <selection activeCell="B2" sqref="B2"/>
    </sheetView>
  </sheetViews>
  <sheetFormatPr defaultColWidth="16.85546875" defaultRowHeight="12.75" x14ac:dyDescent="0.2"/>
  <cols>
    <col min="1" max="1" width="17.140625" style="2" bestFit="1" customWidth="1"/>
    <col min="2" max="2" width="10.85546875" style="2" bestFit="1" customWidth="1"/>
    <col min="3" max="3" width="14.85546875" style="2" bestFit="1" customWidth="1"/>
    <col min="4" max="4" width="14.42578125" style="5" bestFit="1" customWidth="1"/>
    <col min="5" max="5" width="29.140625" style="5" bestFit="1" customWidth="1"/>
    <col min="6" max="6" width="32.140625" style="5" bestFit="1" customWidth="1"/>
    <col min="7" max="7" width="27.28515625" style="5" bestFit="1" customWidth="1"/>
    <col min="8" max="8" width="19.28515625" bestFit="1" customWidth="1"/>
  </cols>
  <sheetData>
    <row r="1" spans="1:8" s="16" customFormat="1" x14ac:dyDescent="0.2">
      <c r="A1" s="16" t="s">
        <v>875</v>
      </c>
      <c r="B1" s="16" t="s">
        <v>1865</v>
      </c>
      <c r="C1" s="16" t="s">
        <v>1389</v>
      </c>
      <c r="D1" s="17" t="s">
        <v>1283</v>
      </c>
      <c r="E1" s="16" t="s">
        <v>1853</v>
      </c>
      <c r="F1" s="16" t="s">
        <v>1855</v>
      </c>
      <c r="G1" s="16" t="s">
        <v>1856</v>
      </c>
      <c r="H1" s="16" t="s">
        <v>1857</v>
      </c>
    </row>
    <row r="2" spans="1:8" ht="15.75" x14ac:dyDescent="0.25">
      <c r="A2" s="8">
        <v>45664</v>
      </c>
      <c r="B2" s="6">
        <v>1</v>
      </c>
      <c r="C2" s="6" t="s">
        <v>135</v>
      </c>
      <c r="D2" s="6" t="str">
        <f>VLOOKUP(Table2[[#This Row],[contract_ID]],'Contract data'!B:F,5,FALSE)</f>
        <v>KH208</v>
      </c>
      <c r="E2" s="6">
        <v>6000000</v>
      </c>
      <c r="F2" s="6"/>
      <c r="G2" s="6">
        <v>6000000</v>
      </c>
      <c r="H2" s="6" t="s">
        <v>1858</v>
      </c>
    </row>
    <row r="3" spans="1:8" ht="15.75" x14ac:dyDescent="0.25">
      <c r="A3" s="8">
        <v>45665</v>
      </c>
      <c r="B3" s="6">
        <v>1</v>
      </c>
      <c r="C3" s="6" t="s">
        <v>168</v>
      </c>
      <c r="D3" s="6" t="str">
        <f>VLOOKUP(Table2[[#This Row],[contract_ID]],'Contract data'!B:F,5,FALSE)</f>
        <v>KH254</v>
      </c>
      <c r="E3" s="6"/>
      <c r="F3" s="6"/>
      <c r="G3" s="6">
        <v>0</v>
      </c>
      <c r="H3" s="6" t="s">
        <v>1859</v>
      </c>
    </row>
    <row r="4" spans="1:8" ht="15.75" x14ac:dyDescent="0.25">
      <c r="A4" s="8">
        <v>45670</v>
      </c>
      <c r="B4" s="6">
        <v>1</v>
      </c>
      <c r="C4" s="6" t="s">
        <v>158</v>
      </c>
      <c r="D4" s="6" t="str">
        <f>VLOOKUP(Table2[[#This Row],[contract_ID]],'Contract data'!B:F,5,FALSE)</f>
        <v>KH001</v>
      </c>
      <c r="E4" s="6"/>
      <c r="F4" s="6"/>
      <c r="G4" s="6">
        <v>0</v>
      </c>
      <c r="H4" s="6" t="s">
        <v>1859</v>
      </c>
    </row>
    <row r="5" spans="1:8" ht="15.75" x14ac:dyDescent="0.25">
      <c r="A5" s="8">
        <v>45669</v>
      </c>
      <c r="B5" s="6">
        <v>1</v>
      </c>
      <c r="C5" s="6" t="s">
        <v>163</v>
      </c>
      <c r="D5" s="6" t="str">
        <f>VLOOKUP(Table2[[#This Row],[contract_ID]],'Contract data'!B:F,5,FALSE)</f>
        <v>KH045</v>
      </c>
      <c r="E5" s="6"/>
      <c r="F5" s="6"/>
      <c r="G5" s="6">
        <v>0</v>
      </c>
      <c r="H5" s="6" t="s">
        <v>1859</v>
      </c>
    </row>
    <row r="6" spans="1:8" ht="15.75" x14ac:dyDescent="0.25">
      <c r="A6" s="8">
        <v>45670</v>
      </c>
      <c r="B6" s="6">
        <v>1</v>
      </c>
      <c r="C6" s="6" t="s">
        <v>123</v>
      </c>
      <c r="D6" s="6" t="str">
        <f>VLOOKUP(Table2[[#This Row],[contract_ID]],'Contract data'!B:F,5,FALSE)</f>
        <v>KH037</v>
      </c>
      <c r="E6" s="6">
        <v>-2000000</v>
      </c>
      <c r="F6" s="6"/>
      <c r="G6" s="6">
        <v>-2000000</v>
      </c>
      <c r="H6" s="6" t="s">
        <v>1860</v>
      </c>
    </row>
    <row r="7" spans="1:8" ht="15.75" x14ac:dyDescent="0.25">
      <c r="A7" s="8">
        <v>45661</v>
      </c>
      <c r="B7" s="6">
        <v>1</v>
      </c>
      <c r="C7" s="6" t="s">
        <v>181</v>
      </c>
      <c r="D7" s="6" t="str">
        <f>VLOOKUP(Table2[[#This Row],[contract_ID]],'Contract data'!B:F,5,FALSE)</f>
        <v>KH047</v>
      </c>
      <c r="E7" s="6">
        <v>-2000000</v>
      </c>
      <c r="F7" s="6"/>
      <c r="G7" s="6">
        <v>-2000000</v>
      </c>
      <c r="H7" s="6" t="s">
        <v>1860</v>
      </c>
    </row>
    <row r="8" spans="1:8" ht="15.75" x14ac:dyDescent="0.25">
      <c r="A8" s="8">
        <v>45673</v>
      </c>
      <c r="B8" s="6">
        <v>1</v>
      </c>
      <c r="C8" s="6" t="s">
        <v>219</v>
      </c>
      <c r="D8" s="6" t="str">
        <f>VLOOKUP(Table2[[#This Row],[contract_ID]],'Contract data'!B:F,5,FALSE)</f>
        <v>KH284</v>
      </c>
      <c r="E8" s="6"/>
      <c r="F8" s="6"/>
      <c r="G8" s="6">
        <v>0</v>
      </c>
      <c r="H8" s="6" t="s">
        <v>1859</v>
      </c>
    </row>
    <row r="9" spans="1:8" ht="15.75" x14ac:dyDescent="0.25">
      <c r="A9" s="8">
        <v>45673</v>
      </c>
      <c r="B9" s="6">
        <v>1</v>
      </c>
      <c r="C9" s="6" t="s">
        <v>100</v>
      </c>
      <c r="D9" s="6" t="str">
        <f>VLOOKUP(Table2[[#This Row],[contract_ID]],'Contract data'!B:F,5,FALSE)</f>
        <v>KH268</v>
      </c>
      <c r="E9" s="6"/>
      <c r="F9" s="6"/>
      <c r="G9" s="6">
        <v>0</v>
      </c>
      <c r="H9" s="6" t="s">
        <v>1859</v>
      </c>
    </row>
    <row r="10" spans="1:8" ht="15.75" x14ac:dyDescent="0.25">
      <c r="A10" s="8">
        <v>45677</v>
      </c>
      <c r="B10" s="6">
        <v>1</v>
      </c>
      <c r="C10" s="6" t="s">
        <v>204</v>
      </c>
      <c r="D10" s="6" t="str">
        <f>VLOOKUP(Table2[[#This Row],[contract_ID]],'Contract data'!B:F,5,FALSE)</f>
        <v>KH310</v>
      </c>
      <c r="E10" s="6">
        <v>2500000</v>
      </c>
      <c r="F10" s="6"/>
      <c r="G10" s="6">
        <v>2500000</v>
      </c>
      <c r="H10" s="6" t="s">
        <v>1858</v>
      </c>
    </row>
    <row r="11" spans="1:8" ht="15.75" x14ac:dyDescent="0.25">
      <c r="A11" s="8">
        <v>45677</v>
      </c>
      <c r="B11" s="6">
        <v>1</v>
      </c>
      <c r="C11" s="6" t="s">
        <v>165</v>
      </c>
      <c r="D11" s="6" t="str">
        <f>VLOOKUP(Table2[[#This Row],[contract_ID]],'Contract data'!B:F,5,FALSE)</f>
        <v>KH095</v>
      </c>
      <c r="E11" s="6">
        <v>-1600000</v>
      </c>
      <c r="F11" s="6"/>
      <c r="G11" s="6">
        <v>-1600000</v>
      </c>
      <c r="H11" s="6" t="s">
        <v>1860</v>
      </c>
    </row>
    <row r="12" spans="1:8" ht="15.75" x14ac:dyDescent="0.25">
      <c r="A12" s="8">
        <v>45671</v>
      </c>
      <c r="B12" s="6">
        <v>1</v>
      </c>
      <c r="C12" s="6" t="s">
        <v>167</v>
      </c>
      <c r="D12" s="6" t="str">
        <f>VLOOKUP(Table2[[#This Row],[contract_ID]],'Contract data'!B:F,5,FALSE)</f>
        <v>KH097</v>
      </c>
      <c r="E12" s="6">
        <v>41000000</v>
      </c>
      <c r="F12" s="6"/>
      <c r="G12" s="6">
        <v>41000000</v>
      </c>
      <c r="H12" s="6" t="s">
        <v>1858</v>
      </c>
    </row>
    <row r="13" spans="1:8" ht="15.75" x14ac:dyDescent="0.25">
      <c r="A13" s="8">
        <v>45680</v>
      </c>
      <c r="B13" s="6">
        <v>1</v>
      </c>
      <c r="C13" s="6" t="s">
        <v>118</v>
      </c>
      <c r="D13" s="6" t="str">
        <f>VLOOKUP(Table2[[#This Row],[contract_ID]],'Contract data'!B:F,5,FALSE)</f>
        <v>KH056</v>
      </c>
      <c r="E13" s="6"/>
      <c r="F13" s="6"/>
      <c r="G13" s="6">
        <v>0</v>
      </c>
      <c r="H13" s="6" t="s">
        <v>1859</v>
      </c>
    </row>
    <row r="14" spans="1:8" ht="15.75" x14ac:dyDescent="0.25">
      <c r="A14" s="8">
        <v>45694</v>
      </c>
      <c r="B14" s="6">
        <v>1</v>
      </c>
      <c r="C14" s="6" t="s">
        <v>206</v>
      </c>
      <c r="D14" s="6" t="str">
        <f>VLOOKUP(Table2[[#This Row],[contract_ID]],'Contract data'!B:F,5,FALSE)</f>
        <v>KH110</v>
      </c>
      <c r="E14" s="6"/>
      <c r="F14" s="6"/>
      <c r="G14" s="6">
        <v>0</v>
      </c>
      <c r="H14" s="6" t="s">
        <v>1859</v>
      </c>
    </row>
    <row r="15" spans="1:8" ht="15.75" x14ac:dyDescent="0.25">
      <c r="A15" s="8">
        <v>45679</v>
      </c>
      <c r="B15" s="6">
        <v>1</v>
      </c>
      <c r="C15" s="6" t="s">
        <v>160</v>
      </c>
      <c r="D15" s="6" t="str">
        <f>VLOOKUP(Table2[[#This Row],[contract_ID]],'Contract data'!B:F,5,FALSE)</f>
        <v>KH070</v>
      </c>
      <c r="E15" s="6">
        <v>3000000</v>
      </c>
      <c r="F15" s="6"/>
      <c r="G15" s="6">
        <v>3000000</v>
      </c>
      <c r="H15" s="6" t="s">
        <v>1858</v>
      </c>
    </row>
    <row r="16" spans="1:8" ht="15.75" x14ac:dyDescent="0.25">
      <c r="A16" s="8">
        <v>45688</v>
      </c>
      <c r="B16" s="6">
        <v>1</v>
      </c>
      <c r="C16" s="6" t="s">
        <v>251</v>
      </c>
      <c r="D16" s="6" t="str">
        <f>VLOOKUP(Table2[[#This Row],[contract_ID]],'Contract data'!B:F,5,FALSE)</f>
        <v>KH290</v>
      </c>
      <c r="E16" s="6"/>
      <c r="F16" s="6"/>
      <c r="G16" s="6">
        <v>0</v>
      </c>
      <c r="H16" s="6" t="s">
        <v>1859</v>
      </c>
    </row>
    <row r="17" spans="1:8" ht="15.75" x14ac:dyDescent="0.25">
      <c r="A17" s="8">
        <v>45698</v>
      </c>
      <c r="B17" s="6">
        <v>1</v>
      </c>
      <c r="C17" s="6" t="s">
        <v>205</v>
      </c>
      <c r="D17" s="6" t="str">
        <f>VLOOKUP(Table2[[#This Row],[contract_ID]],'Contract data'!B:F,5,FALSE)</f>
        <v>KH219</v>
      </c>
      <c r="E17" s="6"/>
      <c r="F17" s="6"/>
      <c r="G17" s="6">
        <v>0</v>
      </c>
      <c r="H17" s="6" t="s">
        <v>1859</v>
      </c>
    </row>
    <row r="18" spans="1:8" ht="15.75" x14ac:dyDescent="0.25">
      <c r="A18" s="8">
        <v>45698</v>
      </c>
      <c r="B18" s="6">
        <v>2</v>
      </c>
      <c r="C18" s="6" t="s">
        <v>206</v>
      </c>
      <c r="D18" s="6" t="str">
        <f>VLOOKUP(Table2[[#This Row],[contract_ID]],'Contract data'!B:F,5,FALSE)</f>
        <v>KH110</v>
      </c>
      <c r="E18" s="6"/>
      <c r="F18" s="6"/>
      <c r="G18" s="6">
        <v>0</v>
      </c>
      <c r="H18" s="6" t="s">
        <v>1859</v>
      </c>
    </row>
    <row r="19" spans="1:8" ht="15.75" x14ac:dyDescent="0.25">
      <c r="A19" s="8">
        <v>45701</v>
      </c>
      <c r="B19" s="6">
        <v>1</v>
      </c>
      <c r="C19" s="6" t="s">
        <v>226</v>
      </c>
      <c r="D19" s="6" t="str">
        <f>VLOOKUP(Table2[[#This Row],[contract_ID]],'Contract data'!B:F,5,FALSE)</f>
        <v>KH287</v>
      </c>
      <c r="E19" s="6"/>
      <c r="F19" s="6"/>
      <c r="G19" s="6">
        <v>0</v>
      </c>
      <c r="H19" s="6" t="s">
        <v>1859</v>
      </c>
    </row>
    <row r="20" spans="1:8" ht="15.75" x14ac:dyDescent="0.25">
      <c r="A20" s="8">
        <v>45698</v>
      </c>
      <c r="B20" s="6">
        <v>1</v>
      </c>
      <c r="C20" s="6" t="s">
        <v>242</v>
      </c>
      <c r="D20" s="6" t="str">
        <f>VLOOKUP(Table2[[#This Row],[contract_ID]],'Contract data'!B:F,5,FALSE)</f>
        <v>KH121</v>
      </c>
      <c r="E20" s="6">
        <v>40000000</v>
      </c>
      <c r="F20" s="6"/>
      <c r="G20" s="6">
        <v>40000000</v>
      </c>
      <c r="H20" s="6" t="s">
        <v>1858</v>
      </c>
    </row>
    <row r="21" spans="1:8" ht="15.75" x14ac:dyDescent="0.25">
      <c r="A21" s="8">
        <v>45703</v>
      </c>
      <c r="B21" s="6">
        <v>1</v>
      </c>
      <c r="C21" s="6" t="s">
        <v>187</v>
      </c>
      <c r="D21" s="6" t="str">
        <f>VLOOKUP(Table2[[#This Row],[contract_ID]],'Contract data'!B:F,5,FALSE)</f>
        <v>KH076</v>
      </c>
      <c r="E21" s="6"/>
      <c r="F21" s="6"/>
      <c r="G21" s="6">
        <v>0</v>
      </c>
      <c r="H21" s="6" t="s">
        <v>1859</v>
      </c>
    </row>
    <row r="22" spans="1:8" ht="15.75" x14ac:dyDescent="0.25">
      <c r="A22" s="8">
        <v>45705</v>
      </c>
      <c r="B22" s="6">
        <v>1</v>
      </c>
      <c r="C22" s="6" t="s">
        <v>190</v>
      </c>
      <c r="D22" s="6" t="str">
        <f>VLOOKUP(Table2[[#This Row],[contract_ID]],'Contract data'!B:F,5,FALSE)</f>
        <v>KH354</v>
      </c>
      <c r="E22" s="6">
        <v>12000000</v>
      </c>
      <c r="F22" s="6"/>
      <c r="G22" s="6">
        <v>12000000</v>
      </c>
      <c r="H22" s="6" t="s">
        <v>1858</v>
      </c>
    </row>
    <row r="23" spans="1:8" ht="15.75" x14ac:dyDescent="0.25">
      <c r="A23" s="8">
        <v>45706</v>
      </c>
      <c r="B23" s="6">
        <v>1</v>
      </c>
      <c r="C23" s="6" t="s">
        <v>234</v>
      </c>
      <c r="D23" s="6" t="str">
        <f>VLOOKUP(Table2[[#This Row],[contract_ID]],'Contract data'!B:F,5,FALSE)</f>
        <v>KH364</v>
      </c>
      <c r="E23" s="6"/>
      <c r="F23" s="6"/>
      <c r="G23" s="6">
        <v>0</v>
      </c>
      <c r="H23" s="6" t="s">
        <v>1859</v>
      </c>
    </row>
    <row r="24" spans="1:8" ht="15.75" x14ac:dyDescent="0.25">
      <c r="A24" s="8">
        <v>45713</v>
      </c>
      <c r="B24" s="6">
        <v>3</v>
      </c>
      <c r="C24" s="6" t="s">
        <v>206</v>
      </c>
      <c r="D24" s="6" t="str">
        <f>VLOOKUP(Table2[[#This Row],[contract_ID]],'Contract data'!B:F,5,FALSE)</f>
        <v>KH110</v>
      </c>
      <c r="E24" s="6">
        <v>25500000</v>
      </c>
      <c r="F24" s="6"/>
      <c r="G24" s="6">
        <v>25500000</v>
      </c>
      <c r="H24" s="6" t="s">
        <v>1858</v>
      </c>
    </row>
    <row r="25" spans="1:8" ht="15.75" x14ac:dyDescent="0.25">
      <c r="A25" s="8">
        <v>45714</v>
      </c>
      <c r="B25" s="6">
        <v>1</v>
      </c>
      <c r="C25" s="6" t="s">
        <v>238</v>
      </c>
      <c r="D25" s="6" t="str">
        <f>VLOOKUP(Table2[[#This Row],[contract_ID]],'Contract data'!B:F,5,FALSE)</f>
        <v>KH011</v>
      </c>
      <c r="E25" s="6"/>
      <c r="F25" s="6"/>
      <c r="G25" s="6">
        <v>0</v>
      </c>
      <c r="H25" s="6" t="s">
        <v>1859</v>
      </c>
    </row>
    <row r="26" spans="1:8" ht="15.75" x14ac:dyDescent="0.25">
      <c r="A26" s="8">
        <v>45714</v>
      </c>
      <c r="B26" s="6">
        <v>1</v>
      </c>
      <c r="C26" s="6" t="s">
        <v>239</v>
      </c>
      <c r="D26" s="6" t="str">
        <f>VLOOKUP(Table2[[#This Row],[contract_ID]],'Contract data'!B:F,5,FALSE)</f>
        <v>KH119</v>
      </c>
      <c r="E26" s="6"/>
      <c r="F26" s="6"/>
      <c r="G26" s="6">
        <v>0</v>
      </c>
      <c r="H26" s="6" t="s">
        <v>1859</v>
      </c>
    </row>
    <row r="27" spans="1:8" ht="15.75" x14ac:dyDescent="0.25">
      <c r="A27" s="8">
        <v>45715</v>
      </c>
      <c r="B27" s="6">
        <v>2</v>
      </c>
      <c r="C27" s="6" t="s">
        <v>160</v>
      </c>
      <c r="D27" s="6" t="str">
        <f>VLOOKUP(Table2[[#This Row],[contract_ID]],'Contract data'!B:F,5,FALSE)</f>
        <v>KH070</v>
      </c>
      <c r="E27" s="6">
        <v>20600000</v>
      </c>
      <c r="F27" s="6"/>
      <c r="G27" s="6">
        <v>20600000</v>
      </c>
      <c r="H27" s="6" t="s">
        <v>1858</v>
      </c>
    </row>
    <row r="28" spans="1:8" ht="15.75" x14ac:dyDescent="0.25">
      <c r="A28" s="8">
        <v>45719</v>
      </c>
      <c r="B28" s="6">
        <v>2</v>
      </c>
      <c r="C28" s="6" t="s">
        <v>242</v>
      </c>
      <c r="D28" s="6" t="str">
        <f>VLOOKUP(Table2[[#This Row],[contract_ID]],'Contract data'!B:F,5,FALSE)</f>
        <v>KH121</v>
      </c>
      <c r="E28" s="6">
        <v>38500000</v>
      </c>
      <c r="F28" s="6"/>
      <c r="G28" s="6">
        <v>38500000</v>
      </c>
      <c r="H28" s="6" t="s">
        <v>1858</v>
      </c>
    </row>
    <row r="29" spans="1:8" ht="15.75" x14ac:dyDescent="0.25">
      <c r="A29" s="8">
        <v>45715</v>
      </c>
      <c r="B29" s="6">
        <v>1</v>
      </c>
      <c r="C29" s="6" t="s">
        <v>246</v>
      </c>
      <c r="D29" s="6" t="str">
        <f>VLOOKUP(Table2[[#This Row],[contract_ID]],'Contract data'!B:F,5,FALSE)</f>
        <v>KH068</v>
      </c>
      <c r="E29" s="6"/>
      <c r="F29" s="6"/>
      <c r="G29" s="6">
        <v>0</v>
      </c>
      <c r="H29" s="6" t="s">
        <v>1859</v>
      </c>
    </row>
    <row r="30" spans="1:8" ht="15.75" x14ac:dyDescent="0.25">
      <c r="A30" s="8">
        <v>45715</v>
      </c>
      <c r="B30" s="6">
        <v>1</v>
      </c>
      <c r="C30" s="6" t="s">
        <v>217</v>
      </c>
      <c r="D30" s="6" t="str">
        <f>VLOOKUP(Table2[[#This Row],[contract_ID]],'Contract data'!B:F,5,FALSE)</f>
        <v>KH112</v>
      </c>
      <c r="E30" s="6">
        <v>35500000</v>
      </c>
      <c r="F30" s="6"/>
      <c r="G30" s="6">
        <v>35500000</v>
      </c>
      <c r="H30" s="6" t="s">
        <v>1858</v>
      </c>
    </row>
    <row r="31" spans="1:8" ht="15.75" x14ac:dyDescent="0.25">
      <c r="A31" s="8">
        <v>45714</v>
      </c>
      <c r="B31" s="6">
        <v>1</v>
      </c>
      <c r="C31" s="6" t="s">
        <v>236</v>
      </c>
      <c r="D31" s="6" t="str">
        <f>VLOOKUP(Table2[[#This Row],[contract_ID]],'Contract data'!B:F,5,FALSE)</f>
        <v>KH240</v>
      </c>
      <c r="E31" s="6">
        <v>61500000</v>
      </c>
      <c r="F31" s="6"/>
      <c r="G31" s="6">
        <v>61500000</v>
      </c>
      <c r="H31" s="6" t="s">
        <v>1858</v>
      </c>
    </row>
    <row r="32" spans="1:8" ht="15.75" x14ac:dyDescent="0.25">
      <c r="A32" s="8">
        <v>45715</v>
      </c>
      <c r="B32" s="6">
        <v>2</v>
      </c>
      <c r="C32" s="6" t="s">
        <v>236</v>
      </c>
      <c r="D32" s="6" t="str">
        <f>VLOOKUP(Table2[[#This Row],[contract_ID]],'Contract data'!B:F,5,FALSE)</f>
        <v>KH240</v>
      </c>
      <c r="E32" s="6"/>
      <c r="F32" s="6"/>
      <c r="G32" s="6">
        <v>0</v>
      </c>
      <c r="H32" s="6" t="s">
        <v>1859</v>
      </c>
    </row>
    <row r="33" spans="1:8" ht="15.75" x14ac:dyDescent="0.25">
      <c r="A33" s="8">
        <v>45724</v>
      </c>
      <c r="B33" s="6">
        <v>2</v>
      </c>
      <c r="C33" s="6" t="s">
        <v>187</v>
      </c>
      <c r="D33" s="6" t="str">
        <f>VLOOKUP(Table2[[#This Row],[contract_ID]],'Contract data'!B:F,5,FALSE)</f>
        <v>KH076</v>
      </c>
      <c r="E33" s="6">
        <v>800000</v>
      </c>
      <c r="F33" s="6"/>
      <c r="G33" s="6">
        <v>800000</v>
      </c>
      <c r="H33" s="6" t="s">
        <v>1858</v>
      </c>
    </row>
    <row r="34" spans="1:8" ht="15.75" x14ac:dyDescent="0.25">
      <c r="A34" s="8">
        <v>45721</v>
      </c>
      <c r="B34" s="6">
        <v>4</v>
      </c>
      <c r="C34" s="6" t="s">
        <v>206</v>
      </c>
      <c r="D34" s="6" t="str">
        <f>VLOOKUP(Table2[[#This Row],[contract_ID]],'Contract data'!B:F,5,FALSE)</f>
        <v>KH110</v>
      </c>
      <c r="E34" s="6"/>
      <c r="F34" s="6"/>
      <c r="G34" s="6">
        <v>0</v>
      </c>
      <c r="H34" s="6" t="s">
        <v>1859</v>
      </c>
    </row>
    <row r="35" spans="1:8" ht="15.75" x14ac:dyDescent="0.25">
      <c r="A35" s="8">
        <v>45708</v>
      </c>
      <c r="B35" s="6">
        <v>1</v>
      </c>
      <c r="C35" s="6" t="s">
        <v>143</v>
      </c>
      <c r="D35" s="6" t="str">
        <f>VLOOKUP(Table2[[#This Row],[contract_ID]],'Contract data'!B:F,5,FALSE)</f>
        <v>KH090</v>
      </c>
      <c r="E35" s="6">
        <v>33000000</v>
      </c>
      <c r="F35" s="6"/>
      <c r="G35" s="6">
        <v>33000000</v>
      </c>
      <c r="H35" s="6" t="s">
        <v>1858</v>
      </c>
    </row>
    <row r="36" spans="1:8" ht="15.75" x14ac:dyDescent="0.25">
      <c r="A36" s="8">
        <v>45726</v>
      </c>
      <c r="B36" s="6">
        <v>1</v>
      </c>
      <c r="C36" s="6" t="s">
        <v>271</v>
      </c>
      <c r="D36" s="6" t="str">
        <f>VLOOKUP(Table2[[#This Row],[contract_ID]],'Contract data'!B:F,5,FALSE)</f>
        <v>KH140</v>
      </c>
      <c r="E36" s="6">
        <v>-1200000</v>
      </c>
      <c r="F36" s="6"/>
      <c r="G36" s="6">
        <v>-1200000</v>
      </c>
      <c r="H36" s="6" t="s">
        <v>1860</v>
      </c>
    </row>
    <row r="37" spans="1:8" ht="15.75" x14ac:dyDescent="0.25">
      <c r="A37" s="8">
        <v>45715</v>
      </c>
      <c r="B37" s="6">
        <v>3</v>
      </c>
      <c r="C37" s="6" t="s">
        <v>160</v>
      </c>
      <c r="D37" s="6" t="str">
        <f>VLOOKUP(Table2[[#This Row],[contract_ID]],'Contract data'!B:F,5,FALSE)</f>
        <v>KH070</v>
      </c>
      <c r="E37" s="6"/>
      <c r="F37" s="6"/>
      <c r="G37" s="6">
        <v>0</v>
      </c>
      <c r="H37" s="6" t="s">
        <v>1859</v>
      </c>
    </row>
    <row r="38" spans="1:8" ht="15.75" x14ac:dyDescent="0.25">
      <c r="A38" s="8">
        <v>45728</v>
      </c>
      <c r="B38" s="6">
        <v>1</v>
      </c>
      <c r="C38" s="6" t="s">
        <v>256</v>
      </c>
      <c r="D38" s="6" t="str">
        <f>VLOOKUP(Table2[[#This Row],[contract_ID]],'Contract data'!B:F,5,FALSE)</f>
        <v>KH230</v>
      </c>
      <c r="E38" s="6"/>
      <c r="F38" s="6"/>
      <c r="G38" s="6">
        <v>0</v>
      </c>
      <c r="H38" s="6" t="s">
        <v>1859</v>
      </c>
    </row>
    <row r="39" spans="1:8" ht="15.75" x14ac:dyDescent="0.25">
      <c r="A39" s="8">
        <v>45730</v>
      </c>
      <c r="B39" s="6">
        <v>1</v>
      </c>
      <c r="C39" s="6" t="s">
        <v>107</v>
      </c>
      <c r="D39" s="6" t="str">
        <f>VLOOKUP(Table2[[#This Row],[contract_ID]],'Contract data'!B:F,5,FALSE)</f>
        <v>KH202</v>
      </c>
      <c r="E39" s="6">
        <v>10000000</v>
      </c>
      <c r="F39" s="6"/>
      <c r="G39" s="6">
        <v>10000000</v>
      </c>
      <c r="H39" s="6" t="s">
        <v>1858</v>
      </c>
    </row>
    <row r="40" spans="1:8" ht="15.75" x14ac:dyDescent="0.25">
      <c r="A40" s="8">
        <v>45734</v>
      </c>
      <c r="B40" s="6">
        <v>4</v>
      </c>
      <c r="C40" s="6" t="s">
        <v>160</v>
      </c>
      <c r="D40" s="6" t="str">
        <f>VLOOKUP(Table2[[#This Row],[contract_ID]],'Contract data'!B:F,5,FALSE)</f>
        <v>KH070</v>
      </c>
      <c r="E40" s="6">
        <v>6000000</v>
      </c>
      <c r="F40" s="6"/>
      <c r="G40" s="6">
        <v>6000000</v>
      </c>
      <c r="H40" s="6" t="s">
        <v>1858</v>
      </c>
    </row>
    <row r="41" spans="1:8" ht="15.75" x14ac:dyDescent="0.25">
      <c r="A41" s="8">
        <v>45733</v>
      </c>
      <c r="B41" s="6">
        <v>1</v>
      </c>
      <c r="C41" s="6" t="s">
        <v>103</v>
      </c>
      <c r="D41" s="6" t="str">
        <f>VLOOKUP(Table2[[#This Row],[contract_ID]],'Contract data'!B:F,5,FALSE)</f>
        <v>KH009</v>
      </c>
      <c r="E41" s="6">
        <v>4000000</v>
      </c>
      <c r="F41" s="6"/>
      <c r="G41" s="6">
        <v>4000000</v>
      </c>
      <c r="H41" s="6" t="s">
        <v>1858</v>
      </c>
    </row>
    <row r="42" spans="1:8" ht="15.75" x14ac:dyDescent="0.25">
      <c r="A42" s="8">
        <v>45737</v>
      </c>
      <c r="B42" s="6">
        <v>1</v>
      </c>
      <c r="C42" s="6" t="s">
        <v>273</v>
      </c>
      <c r="D42" s="6" t="str">
        <f>VLOOKUP(Table2[[#This Row],[contract_ID]],'Contract data'!B:F,5,FALSE)</f>
        <v>KH295</v>
      </c>
      <c r="E42" s="6"/>
      <c r="F42" s="6"/>
      <c r="G42" s="6">
        <v>0</v>
      </c>
      <c r="H42" s="6" t="s">
        <v>1859</v>
      </c>
    </row>
    <row r="43" spans="1:8" ht="15.75" x14ac:dyDescent="0.25">
      <c r="A43" s="8">
        <v>45734</v>
      </c>
      <c r="B43" s="6">
        <v>1</v>
      </c>
      <c r="C43" s="6" t="s">
        <v>276</v>
      </c>
      <c r="D43" s="6" t="str">
        <f>VLOOKUP(Table2[[#This Row],[contract_ID]],'Contract data'!B:F,5,FALSE)</f>
        <v>KH015</v>
      </c>
      <c r="E43" s="6"/>
      <c r="F43" s="6"/>
      <c r="G43" s="6">
        <v>0</v>
      </c>
      <c r="H43" s="6" t="s">
        <v>1859</v>
      </c>
    </row>
    <row r="44" spans="1:8" ht="15.75" x14ac:dyDescent="0.25">
      <c r="A44" s="8">
        <v>45747</v>
      </c>
      <c r="B44" s="6">
        <v>2</v>
      </c>
      <c r="C44" s="6" t="s">
        <v>246</v>
      </c>
      <c r="D44" s="6" t="str">
        <f>VLOOKUP(Table2[[#This Row],[contract_ID]],'Contract data'!B:F,5,FALSE)</f>
        <v>KH068</v>
      </c>
      <c r="E44" s="6">
        <v>6500000</v>
      </c>
      <c r="F44" s="6"/>
      <c r="G44" s="6">
        <v>6500000</v>
      </c>
      <c r="H44" s="6" t="s">
        <v>1858</v>
      </c>
    </row>
    <row r="45" spans="1:8" ht="15.75" x14ac:dyDescent="0.25">
      <c r="A45" s="8">
        <v>45747</v>
      </c>
      <c r="B45" s="6">
        <v>1</v>
      </c>
      <c r="C45" s="6" t="s">
        <v>269</v>
      </c>
      <c r="D45" s="6" t="str">
        <f>VLOOKUP(Table2[[#This Row],[contract_ID]],'Contract data'!B:F,5,FALSE)</f>
        <v>KH165</v>
      </c>
      <c r="E45" s="6">
        <v>25720000</v>
      </c>
      <c r="F45" s="6"/>
      <c r="G45" s="6">
        <v>25720000</v>
      </c>
      <c r="H45" s="6" t="s">
        <v>1858</v>
      </c>
    </row>
    <row r="46" spans="1:8" ht="15.75" x14ac:dyDescent="0.25">
      <c r="A46" s="8">
        <v>45758</v>
      </c>
      <c r="B46" s="6">
        <v>2</v>
      </c>
      <c r="C46" s="6" t="s">
        <v>276</v>
      </c>
      <c r="D46" s="6" t="str">
        <f>VLOOKUP(Table2[[#This Row],[contract_ID]],'Contract data'!B:F,5,FALSE)</f>
        <v>KH015</v>
      </c>
      <c r="E46" s="6"/>
      <c r="F46" s="6"/>
      <c r="G46" s="6">
        <v>0</v>
      </c>
      <c r="H46" s="6" t="s">
        <v>1859</v>
      </c>
    </row>
    <row r="47" spans="1:8" ht="15.75" x14ac:dyDescent="0.25">
      <c r="A47" s="8">
        <v>45731</v>
      </c>
      <c r="B47" s="6">
        <v>1</v>
      </c>
      <c r="C47" s="6" t="s">
        <v>263</v>
      </c>
      <c r="D47" s="6" t="str">
        <f>VLOOKUP(Table2[[#This Row],[contract_ID]],'Contract data'!B:F,5,FALSE)</f>
        <v>KH030</v>
      </c>
      <c r="E47" s="6"/>
      <c r="F47" s="6"/>
      <c r="G47" s="6">
        <v>0</v>
      </c>
      <c r="H47" s="6" t="s">
        <v>1859</v>
      </c>
    </row>
    <row r="48" spans="1:8" ht="15.75" x14ac:dyDescent="0.25">
      <c r="A48" s="8">
        <v>45764</v>
      </c>
      <c r="B48" s="6">
        <v>2</v>
      </c>
      <c r="C48" s="6" t="s">
        <v>158</v>
      </c>
      <c r="D48" s="6" t="str">
        <f>VLOOKUP(Table2[[#This Row],[contract_ID]],'Contract data'!B:F,5,FALSE)</f>
        <v>KH001</v>
      </c>
      <c r="E48" s="6"/>
      <c r="F48" s="6"/>
      <c r="G48" s="6">
        <v>0</v>
      </c>
      <c r="H48" s="6" t="s">
        <v>1859</v>
      </c>
    </row>
    <row r="49" spans="1:8" ht="15.75" x14ac:dyDescent="0.25">
      <c r="A49" s="8">
        <v>45768</v>
      </c>
      <c r="B49" s="6">
        <v>1</v>
      </c>
      <c r="C49" s="6" t="s">
        <v>196</v>
      </c>
      <c r="D49" s="6" t="str">
        <f>VLOOKUP(Table2[[#This Row],[contract_ID]],'Contract data'!B:F,5,FALSE)</f>
        <v>KH314</v>
      </c>
      <c r="E49" s="6">
        <v>-2565000</v>
      </c>
      <c r="F49" s="6"/>
      <c r="G49" s="6">
        <v>-2565000</v>
      </c>
      <c r="H49" s="6" t="s">
        <v>1860</v>
      </c>
    </row>
    <row r="50" spans="1:8" ht="15.75" x14ac:dyDescent="0.25">
      <c r="A50" s="8">
        <v>45768</v>
      </c>
      <c r="B50" s="6">
        <v>1</v>
      </c>
      <c r="C50" s="6" t="s">
        <v>264</v>
      </c>
      <c r="D50" s="6" t="str">
        <f>VLOOKUP(Table2[[#This Row],[contract_ID]],'Contract data'!B:F,5,FALSE)</f>
        <v>KH297</v>
      </c>
      <c r="E50" s="6">
        <v>10000000</v>
      </c>
      <c r="F50" s="6"/>
      <c r="G50" s="6">
        <v>10000000</v>
      </c>
      <c r="H50" s="6" t="s">
        <v>1858</v>
      </c>
    </row>
    <row r="51" spans="1:8" ht="15.75" x14ac:dyDescent="0.25">
      <c r="A51" s="8">
        <v>45771</v>
      </c>
      <c r="B51" s="6">
        <v>1</v>
      </c>
      <c r="C51" s="6" t="s">
        <v>216</v>
      </c>
      <c r="D51" s="6" t="str">
        <f>VLOOKUP(Table2[[#This Row],[contract_ID]],'Contract data'!B:F,5,FALSE)</f>
        <v>KH257</v>
      </c>
      <c r="E51" s="6">
        <v>-24500000</v>
      </c>
      <c r="F51" s="6"/>
      <c r="G51" s="6">
        <v>-24500000</v>
      </c>
      <c r="H51" s="6" t="s">
        <v>1860</v>
      </c>
    </row>
    <row r="52" spans="1:8" ht="15.75" x14ac:dyDescent="0.25">
      <c r="A52" s="8">
        <v>45771</v>
      </c>
      <c r="B52" s="6">
        <v>1</v>
      </c>
      <c r="C52" s="6" t="s">
        <v>245</v>
      </c>
      <c r="D52" s="6" t="str">
        <f>VLOOKUP(Table2[[#This Row],[contract_ID]],'Contract data'!B:F,5,FALSE)</f>
        <v>KH368</v>
      </c>
      <c r="E52" s="6"/>
      <c r="F52" s="6"/>
      <c r="G52" s="6">
        <v>0</v>
      </c>
      <c r="H52" s="6" t="s">
        <v>1859</v>
      </c>
    </row>
    <row r="53" spans="1:8" ht="15.75" x14ac:dyDescent="0.25">
      <c r="A53" s="8">
        <v>45771</v>
      </c>
      <c r="B53" s="6">
        <v>1</v>
      </c>
      <c r="C53" s="6" t="s">
        <v>272</v>
      </c>
      <c r="D53" s="6" t="str">
        <f>VLOOKUP(Table2[[#This Row],[contract_ID]],'Contract data'!B:F,5,FALSE)</f>
        <v>KH142</v>
      </c>
      <c r="E53" s="6">
        <v>10000000</v>
      </c>
      <c r="F53" s="6"/>
      <c r="G53" s="6">
        <v>10000000</v>
      </c>
      <c r="H53" s="6" t="s">
        <v>1858</v>
      </c>
    </row>
    <row r="54" spans="1:8" ht="15.75" x14ac:dyDescent="0.25">
      <c r="A54" s="8">
        <v>45769</v>
      </c>
      <c r="B54" s="6">
        <v>1</v>
      </c>
      <c r="C54" s="6" t="s">
        <v>147</v>
      </c>
      <c r="D54" s="6" t="str">
        <f>VLOOKUP(Table2[[#This Row],[contract_ID]],'Contract data'!B:F,5,FALSE)</f>
        <v>KH041</v>
      </c>
      <c r="E54" s="6">
        <v>-4500000</v>
      </c>
      <c r="F54" s="6"/>
      <c r="G54" s="6">
        <v>-4500000</v>
      </c>
      <c r="H54" s="6" t="s">
        <v>1860</v>
      </c>
    </row>
    <row r="55" spans="1:8" ht="15.75" x14ac:dyDescent="0.25">
      <c r="A55" s="8">
        <v>45782</v>
      </c>
      <c r="B55" s="6">
        <v>1</v>
      </c>
      <c r="C55" s="6" t="s">
        <v>377</v>
      </c>
      <c r="D55" s="6" t="str">
        <f>VLOOKUP(Table2[[#This Row],[contract_ID]],'Contract data'!B:F,5,FALSE)</f>
        <v>KH157</v>
      </c>
      <c r="E55" s="6"/>
      <c r="F55" s="6"/>
      <c r="G55" s="6">
        <v>0</v>
      </c>
      <c r="H55" s="6" t="s">
        <v>1859</v>
      </c>
    </row>
    <row r="56" spans="1:8" ht="15.75" x14ac:dyDescent="0.25">
      <c r="A56" s="8">
        <v>45784</v>
      </c>
      <c r="B56" s="6">
        <v>1</v>
      </c>
      <c r="C56" s="6" t="s">
        <v>129</v>
      </c>
      <c r="D56" s="6" t="str">
        <f>VLOOKUP(Table2[[#This Row],[contract_ID]],'Contract data'!B:F,5,FALSE)</f>
        <v>KH039</v>
      </c>
      <c r="E56" s="6"/>
      <c r="F56" s="6"/>
      <c r="G56" s="6">
        <v>0</v>
      </c>
      <c r="H56" s="6" t="s">
        <v>1859</v>
      </c>
    </row>
    <row r="57" spans="1:8" ht="15.75" x14ac:dyDescent="0.25">
      <c r="A57" s="8">
        <v>45784</v>
      </c>
      <c r="B57" s="6">
        <v>1</v>
      </c>
      <c r="C57" s="6" t="s">
        <v>881</v>
      </c>
      <c r="D57" s="6" t="str">
        <f>VLOOKUP(Table2[[#This Row],[contract_ID]],'Contract data'!B:F,5,FALSE)</f>
        <v>KH036</v>
      </c>
      <c r="E57" s="6"/>
      <c r="F57" s="6"/>
      <c r="G57" s="6">
        <v>0</v>
      </c>
      <c r="H57" s="6" t="s">
        <v>1859</v>
      </c>
    </row>
    <row r="58" spans="1:8" ht="15.75" x14ac:dyDescent="0.25">
      <c r="A58" s="8">
        <v>45789</v>
      </c>
      <c r="B58" s="6">
        <v>3</v>
      </c>
      <c r="C58" s="6" t="s">
        <v>242</v>
      </c>
      <c r="D58" s="6" t="str">
        <f>VLOOKUP(Table2[[#This Row],[contract_ID]],'Contract data'!B:F,5,FALSE)</f>
        <v>KH121</v>
      </c>
      <c r="E58" s="6">
        <v>900000</v>
      </c>
      <c r="F58" s="6"/>
      <c r="G58" s="6">
        <v>900000</v>
      </c>
      <c r="H58" s="6" t="s">
        <v>1858</v>
      </c>
    </row>
    <row r="59" spans="1:8" ht="15.75" x14ac:dyDescent="0.25">
      <c r="A59" s="8">
        <v>45790</v>
      </c>
      <c r="B59" s="6">
        <v>1</v>
      </c>
      <c r="C59" s="6" t="s">
        <v>231</v>
      </c>
      <c r="D59" s="6" t="str">
        <f>VLOOKUP(Table2[[#This Row],[contract_ID]],'Contract data'!B:F,5,FALSE)</f>
        <v>KH224</v>
      </c>
      <c r="E59" s="6">
        <v>18000000</v>
      </c>
      <c r="F59" s="6"/>
      <c r="G59" s="6">
        <v>18000000</v>
      </c>
      <c r="H59" s="6" t="s">
        <v>1858</v>
      </c>
    </row>
    <row r="60" spans="1:8" ht="15.75" x14ac:dyDescent="0.25">
      <c r="A60" s="8">
        <v>45790</v>
      </c>
      <c r="B60" s="6">
        <v>1</v>
      </c>
      <c r="C60" s="6" t="s">
        <v>304</v>
      </c>
      <c r="D60" s="6" t="str">
        <f>VLOOKUP(Table2[[#This Row],[contract_ID]],'Contract data'!B:F,5,FALSE)</f>
        <v>KH082</v>
      </c>
      <c r="E60" s="6"/>
      <c r="F60" s="6"/>
      <c r="G60" s="6">
        <v>0</v>
      </c>
      <c r="H60" s="6" t="s">
        <v>1859</v>
      </c>
    </row>
    <row r="61" spans="1:8" ht="15.75" x14ac:dyDescent="0.25">
      <c r="A61" s="8">
        <v>45794</v>
      </c>
      <c r="B61" s="6">
        <v>1</v>
      </c>
      <c r="C61" s="6" t="s">
        <v>285</v>
      </c>
      <c r="D61" s="6" t="str">
        <f>VLOOKUP(Table2[[#This Row],[contract_ID]],'Contract data'!B:F,5,FALSE)</f>
        <v>KH053</v>
      </c>
      <c r="E61" s="6"/>
      <c r="F61" s="6"/>
      <c r="G61" s="6">
        <v>0</v>
      </c>
      <c r="H61" s="6" t="s">
        <v>1859</v>
      </c>
    </row>
    <row r="62" spans="1:8" ht="15.75" x14ac:dyDescent="0.25">
      <c r="A62" s="8">
        <v>45794</v>
      </c>
      <c r="B62" s="6">
        <v>1</v>
      </c>
      <c r="C62" s="6" t="s">
        <v>265</v>
      </c>
      <c r="D62" s="6" t="str">
        <f>VLOOKUP(Table2[[#This Row],[contract_ID]],'Contract data'!B:F,5,FALSE)</f>
        <v>KH018</v>
      </c>
      <c r="E62" s="6"/>
      <c r="F62" s="6"/>
      <c r="G62" s="6">
        <v>0</v>
      </c>
      <c r="H62" s="6" t="s">
        <v>1859</v>
      </c>
    </row>
    <row r="63" spans="1:8" ht="15.75" x14ac:dyDescent="0.25">
      <c r="A63" s="8">
        <v>45791</v>
      </c>
      <c r="B63" s="6">
        <v>1</v>
      </c>
      <c r="C63" s="6" t="s">
        <v>299</v>
      </c>
      <c r="D63" s="6" t="str">
        <f>VLOOKUP(Table2[[#This Row],[contract_ID]],'Contract data'!B:F,5,FALSE)</f>
        <v>KH012</v>
      </c>
      <c r="E63" s="6"/>
      <c r="F63" s="6"/>
      <c r="G63" s="6">
        <v>0</v>
      </c>
      <c r="H63" s="6" t="s">
        <v>1859</v>
      </c>
    </row>
    <row r="64" spans="1:8" ht="15.75" x14ac:dyDescent="0.25">
      <c r="A64" s="8">
        <v>45800</v>
      </c>
      <c r="B64" s="6">
        <v>2</v>
      </c>
      <c r="C64" s="6" t="s">
        <v>216</v>
      </c>
      <c r="D64" s="6" t="str">
        <f>VLOOKUP(Table2[[#This Row],[contract_ID]],'Contract data'!B:F,5,FALSE)</f>
        <v>KH257</v>
      </c>
      <c r="E64" s="6"/>
      <c r="F64" s="6"/>
      <c r="G64" s="6">
        <v>0</v>
      </c>
      <c r="H64" s="6" t="s">
        <v>1859</v>
      </c>
    </row>
    <row r="65" spans="1:8" ht="15.75" x14ac:dyDescent="0.25">
      <c r="A65" s="8">
        <v>45804</v>
      </c>
      <c r="B65" s="6">
        <v>3</v>
      </c>
      <c r="C65" s="6" t="s">
        <v>216</v>
      </c>
      <c r="D65" s="6" t="str">
        <f>VLOOKUP(Table2[[#This Row],[contract_ID]],'Contract data'!B:F,5,FALSE)</f>
        <v>KH257</v>
      </c>
      <c r="E65" s="6"/>
      <c r="F65" s="6"/>
      <c r="G65" s="6">
        <v>0</v>
      </c>
      <c r="H65" s="6" t="s">
        <v>1859</v>
      </c>
    </row>
    <row r="66" spans="1:8" ht="15.75" x14ac:dyDescent="0.25">
      <c r="A66" s="8">
        <v>45805</v>
      </c>
      <c r="B66" s="6">
        <v>1</v>
      </c>
      <c r="C66" s="6" t="s">
        <v>311</v>
      </c>
      <c r="D66" s="6" t="str">
        <f>VLOOKUP(Table2[[#This Row],[contract_ID]],'Contract data'!B:F,5,FALSE)</f>
        <v>KH062</v>
      </c>
      <c r="E66" s="6"/>
      <c r="F66" s="6"/>
      <c r="G66" s="6">
        <v>0</v>
      </c>
      <c r="H66" s="6" t="s">
        <v>1859</v>
      </c>
    </row>
    <row r="67" spans="1:8" ht="15.75" x14ac:dyDescent="0.25">
      <c r="A67" s="8">
        <v>45800</v>
      </c>
      <c r="B67" s="6">
        <v>2</v>
      </c>
      <c r="C67" s="6" t="s">
        <v>265</v>
      </c>
      <c r="D67" s="6" t="str">
        <f>VLOOKUP(Table2[[#This Row],[contract_ID]],'Contract data'!B:F,5,FALSE)</f>
        <v>KH018</v>
      </c>
      <c r="E67" s="6">
        <v>-2500000</v>
      </c>
      <c r="F67" s="6"/>
      <c r="G67" s="6">
        <v>-2500000</v>
      </c>
      <c r="H67" s="6" t="s">
        <v>1860</v>
      </c>
    </row>
    <row r="68" spans="1:8" ht="15.75" x14ac:dyDescent="0.25">
      <c r="A68" s="8">
        <v>45811</v>
      </c>
      <c r="B68" s="6">
        <v>1</v>
      </c>
      <c r="C68" s="6" t="s">
        <v>310</v>
      </c>
      <c r="D68" s="6" t="str">
        <f>VLOOKUP(Table2[[#This Row],[contract_ID]],'Contract data'!B:F,5,FALSE)</f>
        <v>KH267</v>
      </c>
      <c r="E68" s="6"/>
      <c r="F68" s="6"/>
      <c r="G68" s="6">
        <v>0</v>
      </c>
      <c r="H68" s="6" t="s">
        <v>1859</v>
      </c>
    </row>
    <row r="69" spans="1:8" ht="15.75" x14ac:dyDescent="0.25">
      <c r="A69" s="8">
        <v>45804</v>
      </c>
      <c r="B69" s="6">
        <v>1</v>
      </c>
      <c r="C69" s="6" t="s">
        <v>209</v>
      </c>
      <c r="D69" s="6" t="str">
        <f>VLOOKUP(Table2[[#This Row],[contract_ID]],'Contract data'!B:F,5,FALSE)</f>
        <v>KH048</v>
      </c>
      <c r="E69" s="6"/>
      <c r="F69" s="6"/>
      <c r="G69" s="6">
        <v>0</v>
      </c>
      <c r="H69" s="6" t="s">
        <v>1859</v>
      </c>
    </row>
    <row r="70" spans="1:8" ht="15.75" x14ac:dyDescent="0.25">
      <c r="A70" s="8">
        <v>45817</v>
      </c>
      <c r="B70" s="6">
        <v>3</v>
      </c>
      <c r="C70" s="6" t="s">
        <v>236</v>
      </c>
      <c r="D70" s="6" t="str">
        <f>VLOOKUP(Table2[[#This Row],[contract_ID]],'Contract data'!B:F,5,FALSE)</f>
        <v>KH240</v>
      </c>
      <c r="E70" s="6">
        <v>-3000000</v>
      </c>
      <c r="F70" s="6"/>
      <c r="G70" s="6">
        <v>-3000000</v>
      </c>
      <c r="H70" s="6" t="s">
        <v>1860</v>
      </c>
    </row>
    <row r="71" spans="1:8" ht="15.75" x14ac:dyDescent="0.25">
      <c r="A71" s="8">
        <v>45814</v>
      </c>
      <c r="B71" s="6">
        <v>1</v>
      </c>
      <c r="C71" s="6" t="s">
        <v>880</v>
      </c>
      <c r="D71" s="6" t="str">
        <f>VLOOKUP(Table2[[#This Row],[contract_ID]],'Contract data'!B:F,5,FALSE)</f>
        <v>KH123</v>
      </c>
      <c r="E71" s="6">
        <v>1200000</v>
      </c>
      <c r="F71" s="6"/>
      <c r="G71" s="6">
        <v>1200000</v>
      </c>
      <c r="H71" s="6" t="s">
        <v>1858</v>
      </c>
    </row>
    <row r="72" spans="1:8" ht="15.75" x14ac:dyDescent="0.25">
      <c r="A72" s="8">
        <v>45820</v>
      </c>
      <c r="B72" s="6">
        <v>1</v>
      </c>
      <c r="C72" s="6" t="s">
        <v>316</v>
      </c>
      <c r="D72" s="6" t="str">
        <f>VLOOKUP(Table2[[#This Row],[contract_ID]],'Contract data'!B:F,5,FALSE)</f>
        <v>KH094</v>
      </c>
      <c r="E72" s="6">
        <v>85000000</v>
      </c>
      <c r="F72" s="6"/>
      <c r="G72" s="6">
        <v>85000000</v>
      </c>
      <c r="H72" s="6" t="s">
        <v>1858</v>
      </c>
    </row>
    <row r="73" spans="1:8" ht="15.75" x14ac:dyDescent="0.25">
      <c r="A73" s="8">
        <v>45818</v>
      </c>
      <c r="B73" s="6">
        <v>1</v>
      </c>
      <c r="C73" s="6" t="s">
        <v>156</v>
      </c>
      <c r="D73" s="6" t="str">
        <f>VLOOKUP(Table2[[#This Row],[contract_ID]],'Contract data'!B:F,5,FALSE)</f>
        <v>KH282</v>
      </c>
      <c r="E73" s="6">
        <v>-5000000</v>
      </c>
      <c r="F73" s="6"/>
      <c r="G73" s="6">
        <v>-5000000</v>
      </c>
      <c r="H73" s="6" t="s">
        <v>1860</v>
      </c>
    </row>
    <row r="74" spans="1:8" ht="15.75" x14ac:dyDescent="0.25">
      <c r="A74" s="8">
        <v>45804</v>
      </c>
      <c r="B74" s="6">
        <v>1</v>
      </c>
      <c r="C74" s="6" t="s">
        <v>290</v>
      </c>
      <c r="D74" s="6" t="str">
        <f>VLOOKUP(Table2[[#This Row],[contract_ID]],'Contract data'!B:F,5,FALSE)</f>
        <v>KH376</v>
      </c>
      <c r="E74" s="6">
        <v>15000000</v>
      </c>
      <c r="F74" s="6"/>
      <c r="G74" s="6">
        <v>15000000</v>
      </c>
      <c r="H74" s="6" t="s">
        <v>1858</v>
      </c>
    </row>
    <row r="75" spans="1:8" ht="15.75" x14ac:dyDescent="0.25">
      <c r="A75" s="8">
        <v>45800</v>
      </c>
      <c r="B75" s="6">
        <v>1</v>
      </c>
      <c r="C75" s="6" t="s">
        <v>286</v>
      </c>
      <c r="D75" s="6" t="str">
        <f>VLOOKUP(Table2[[#This Row],[contract_ID]],'Contract data'!B:F,5,FALSE)</f>
        <v>KH075</v>
      </c>
      <c r="E75" s="6">
        <v>4000000</v>
      </c>
      <c r="F75" s="6"/>
      <c r="G75" s="6">
        <v>4000000</v>
      </c>
      <c r="H75" s="6" t="s">
        <v>1858</v>
      </c>
    </row>
    <row r="76" spans="1:8" ht="15.75" x14ac:dyDescent="0.25">
      <c r="A76" s="8">
        <v>45827</v>
      </c>
      <c r="B76" s="6">
        <v>1</v>
      </c>
      <c r="C76" s="6" t="s">
        <v>295</v>
      </c>
      <c r="D76" s="6" t="str">
        <f>VLOOKUP(Table2[[#This Row],[contract_ID]],'Contract data'!B:F,5,FALSE)</f>
        <v>KH055</v>
      </c>
      <c r="E76" s="6"/>
      <c r="F76" s="6"/>
      <c r="G76" s="6">
        <v>0</v>
      </c>
      <c r="H76" s="6" t="s">
        <v>1859</v>
      </c>
    </row>
    <row r="77" spans="1:8" ht="15.75" x14ac:dyDescent="0.25">
      <c r="A77" s="8">
        <v>45827</v>
      </c>
      <c r="B77" s="6">
        <v>1</v>
      </c>
      <c r="C77" s="6" t="s">
        <v>235</v>
      </c>
      <c r="D77" s="6" t="str">
        <f>VLOOKUP(Table2[[#This Row],[contract_ID]],'Contract data'!B:F,5,FALSE)</f>
        <v>KH107</v>
      </c>
      <c r="E77" s="6">
        <v>-28000000</v>
      </c>
      <c r="F77" s="6"/>
      <c r="G77" s="6">
        <v>-28000000</v>
      </c>
      <c r="H77" s="6" t="s">
        <v>1860</v>
      </c>
    </row>
    <row r="78" spans="1:8" ht="15.75" x14ac:dyDescent="0.25">
      <c r="A78" s="8">
        <v>45799</v>
      </c>
      <c r="B78" s="6">
        <v>1</v>
      </c>
      <c r="C78" s="6" t="s">
        <v>248</v>
      </c>
      <c r="D78" s="6" t="str">
        <f>VLOOKUP(Table2[[#This Row],[contract_ID]],'Contract data'!B:F,5,FALSE)</f>
        <v>KH371</v>
      </c>
      <c r="E78" s="6">
        <v>8000000</v>
      </c>
      <c r="F78" s="6"/>
      <c r="G78" s="6">
        <v>8000000</v>
      </c>
      <c r="H78" s="6" t="s">
        <v>1858</v>
      </c>
    </row>
    <row r="79" spans="1:8" ht="15.75" x14ac:dyDescent="0.25">
      <c r="A79" s="8">
        <v>45812</v>
      </c>
      <c r="B79" s="6">
        <v>2</v>
      </c>
      <c r="C79" s="6" t="s">
        <v>167</v>
      </c>
      <c r="D79" s="6" t="str">
        <f>VLOOKUP(Table2[[#This Row],[contract_ID]],'Contract data'!B:F,5,FALSE)</f>
        <v>KH097</v>
      </c>
      <c r="E79" s="6"/>
      <c r="F79" s="6"/>
      <c r="G79" s="6">
        <v>0</v>
      </c>
      <c r="H79" s="6" t="s">
        <v>1859</v>
      </c>
    </row>
    <row r="80" spans="1:8" ht="15.75" x14ac:dyDescent="0.25">
      <c r="A80" s="8">
        <v>45839</v>
      </c>
      <c r="B80" s="6">
        <v>1</v>
      </c>
      <c r="C80" s="6" t="s">
        <v>112</v>
      </c>
      <c r="D80" s="6" t="str">
        <f>VLOOKUP(Table2[[#This Row],[contract_ID]],'Contract data'!B:F,5,FALSE)</f>
        <v>KH343</v>
      </c>
      <c r="E80" s="6">
        <v>-2000000</v>
      </c>
      <c r="F80" s="6"/>
      <c r="G80" s="6">
        <v>-2000000</v>
      </c>
      <c r="H80" s="6" t="s">
        <v>1860</v>
      </c>
    </row>
    <row r="81" spans="1:8" ht="15.75" x14ac:dyDescent="0.25">
      <c r="A81" s="8">
        <v>45798</v>
      </c>
      <c r="B81" s="6">
        <v>1</v>
      </c>
      <c r="C81" s="6" t="s">
        <v>309</v>
      </c>
      <c r="D81" s="6" t="str">
        <f>VLOOKUP(Table2[[#This Row],[contract_ID]],'Contract data'!B:F,5,FALSE)</f>
        <v>KH207</v>
      </c>
      <c r="E81" s="6">
        <v>-100000000</v>
      </c>
      <c r="F81" s="6"/>
      <c r="G81" s="6">
        <v>-100000000</v>
      </c>
      <c r="H81" s="6" t="s">
        <v>1860</v>
      </c>
    </row>
    <row r="82" spans="1:8" ht="15.75" x14ac:dyDescent="0.25">
      <c r="A82" s="8">
        <v>45838</v>
      </c>
      <c r="B82" s="6">
        <v>2</v>
      </c>
      <c r="C82" s="6" t="s">
        <v>231</v>
      </c>
      <c r="D82" s="6" t="str">
        <f>VLOOKUP(Table2[[#This Row],[contract_ID]],'Contract data'!B:F,5,FALSE)</f>
        <v>KH224</v>
      </c>
      <c r="E82" s="6">
        <v>2000000</v>
      </c>
      <c r="F82" s="6"/>
      <c r="G82" s="6">
        <v>2000000</v>
      </c>
      <c r="H82" s="6" t="s">
        <v>1858</v>
      </c>
    </row>
    <row r="83" spans="1:8" ht="15.75" x14ac:dyDescent="0.25">
      <c r="A83" s="8">
        <v>45838</v>
      </c>
      <c r="B83" s="6">
        <v>1</v>
      </c>
      <c r="C83" s="6" t="s">
        <v>318</v>
      </c>
      <c r="D83" s="6" t="str">
        <f>VLOOKUP(Table2[[#This Row],[contract_ID]],'Contract data'!B:F,5,FALSE)</f>
        <v>KH169</v>
      </c>
      <c r="E83" s="6">
        <v>7750000</v>
      </c>
      <c r="F83" s="6"/>
      <c r="G83" s="6">
        <v>7750000</v>
      </c>
      <c r="H83" s="6" t="s">
        <v>1858</v>
      </c>
    </row>
    <row r="84" spans="1:8" ht="15.75" x14ac:dyDescent="0.25">
      <c r="A84" s="8">
        <v>45843</v>
      </c>
      <c r="B84" s="6">
        <v>2</v>
      </c>
      <c r="C84" s="6" t="s">
        <v>295</v>
      </c>
      <c r="D84" s="6" t="str">
        <f>VLOOKUP(Table2[[#This Row],[contract_ID]],'Contract data'!B:F,5,FALSE)</f>
        <v>KH055</v>
      </c>
      <c r="E84" s="6">
        <v>8000000</v>
      </c>
      <c r="F84" s="6"/>
      <c r="G84" s="6">
        <v>8000000</v>
      </c>
      <c r="H84" s="6" t="s">
        <v>1858</v>
      </c>
    </row>
    <row r="85" spans="1:8" ht="15.75" x14ac:dyDescent="0.25">
      <c r="A85" s="8">
        <v>45800</v>
      </c>
      <c r="B85" s="6">
        <v>1</v>
      </c>
      <c r="C85" s="6" t="s">
        <v>302</v>
      </c>
      <c r="D85" s="6" t="str">
        <f>VLOOKUP(Table2[[#This Row],[contract_ID]],'Contract data'!B:F,5,FALSE)</f>
        <v>KH079</v>
      </c>
      <c r="E85" s="6"/>
      <c r="F85" s="6"/>
      <c r="G85" s="6">
        <v>0</v>
      </c>
      <c r="H85" s="6" t="s">
        <v>1859</v>
      </c>
    </row>
    <row r="86" spans="1:8" ht="15.75" x14ac:dyDescent="0.25">
      <c r="A86" s="8">
        <v>45840</v>
      </c>
      <c r="B86" s="6">
        <v>1</v>
      </c>
      <c r="C86" s="6" t="s">
        <v>139</v>
      </c>
      <c r="D86" s="6" t="str">
        <f>VLOOKUP(Table2[[#This Row],[contract_ID]],'Contract data'!B:F,5,FALSE)</f>
        <v>KH060</v>
      </c>
      <c r="E86" s="6">
        <v>1700000000</v>
      </c>
      <c r="F86" s="6"/>
      <c r="G86" s="6">
        <v>1700000000</v>
      </c>
      <c r="H86" s="6" t="s">
        <v>1858</v>
      </c>
    </row>
    <row r="87" spans="1:8" ht="15.75" x14ac:dyDescent="0.25">
      <c r="A87" s="8">
        <v>45853</v>
      </c>
      <c r="B87" s="6">
        <v>1</v>
      </c>
      <c r="C87" s="6" t="s">
        <v>346</v>
      </c>
      <c r="D87" s="6" t="str">
        <f>VLOOKUP(Table2[[#This Row],[contract_ID]],'Contract data'!B:F,5,FALSE)</f>
        <v>KH215</v>
      </c>
      <c r="E87" s="6"/>
      <c r="F87" s="6"/>
      <c r="G87" s="6">
        <v>0</v>
      </c>
      <c r="H87" s="6" t="s">
        <v>1859</v>
      </c>
    </row>
    <row r="88" spans="1:8" ht="15.75" x14ac:dyDescent="0.25">
      <c r="A88" s="8">
        <v>45854</v>
      </c>
      <c r="B88" s="6">
        <v>1</v>
      </c>
      <c r="C88" s="6" t="s">
        <v>332</v>
      </c>
      <c r="D88" s="6" t="str">
        <f>VLOOKUP(Table2[[#This Row],[contract_ID]],'Contract data'!B:F,5,FALSE)</f>
        <v>KH182</v>
      </c>
      <c r="E88" s="6"/>
      <c r="F88" s="6"/>
      <c r="G88" s="6">
        <v>0</v>
      </c>
      <c r="H88" s="6" t="s">
        <v>1859</v>
      </c>
    </row>
    <row r="89" spans="1:8" ht="15.75" x14ac:dyDescent="0.25">
      <c r="A89" s="8">
        <v>45853</v>
      </c>
      <c r="B89" s="6">
        <v>1</v>
      </c>
      <c r="C89" s="6" t="s">
        <v>237</v>
      </c>
      <c r="D89" s="6" t="str">
        <f>VLOOKUP(Table2[[#This Row],[contract_ID]],'Contract data'!B:F,5,FALSE)</f>
        <v>KH233</v>
      </c>
      <c r="E89" s="6"/>
      <c r="F89" s="6"/>
      <c r="G89" s="6">
        <v>0</v>
      </c>
      <c r="H89" s="6" t="s">
        <v>1859</v>
      </c>
    </row>
    <row r="90" spans="1:8" ht="15.75" x14ac:dyDescent="0.25">
      <c r="A90" s="8">
        <v>45854</v>
      </c>
      <c r="B90" s="6">
        <v>1</v>
      </c>
      <c r="C90" s="6" t="s">
        <v>292</v>
      </c>
      <c r="D90" s="6" t="str">
        <f>VLOOKUP(Table2[[#This Row],[contract_ID]],'Contract data'!B:F,5,FALSE)</f>
        <v>KH148</v>
      </c>
      <c r="E90" s="6"/>
      <c r="F90" s="6"/>
      <c r="G90" s="6">
        <v>0</v>
      </c>
      <c r="H90" s="6" t="s">
        <v>1859</v>
      </c>
    </row>
    <row r="91" spans="1:8" ht="15.75" x14ac:dyDescent="0.25">
      <c r="A91" s="8">
        <v>45850</v>
      </c>
      <c r="B91" s="6">
        <v>1</v>
      </c>
      <c r="C91" s="6" t="s">
        <v>327</v>
      </c>
      <c r="D91" s="6" t="str">
        <f>VLOOKUP(Table2[[#This Row],[contract_ID]],'Contract data'!B:F,5,FALSE)</f>
        <v>KH313</v>
      </c>
      <c r="E91" s="6">
        <v>77000000</v>
      </c>
      <c r="F91" s="6"/>
      <c r="G91" s="6">
        <v>77000000</v>
      </c>
      <c r="H91" s="6" t="s">
        <v>1858</v>
      </c>
    </row>
    <row r="92" spans="1:8" ht="15.75" x14ac:dyDescent="0.25">
      <c r="A92" s="8">
        <v>45855</v>
      </c>
      <c r="B92" s="6">
        <v>1</v>
      </c>
      <c r="C92" s="6" t="s">
        <v>287</v>
      </c>
      <c r="D92" s="6" t="str">
        <f>VLOOKUP(Table2[[#This Row],[contract_ID]],'Contract data'!B:F,5,FALSE)</f>
        <v>KH057</v>
      </c>
      <c r="E92" s="6">
        <v>-2520000</v>
      </c>
      <c r="F92" s="6"/>
      <c r="G92" s="6">
        <v>-2520000</v>
      </c>
      <c r="H92" s="6" t="s">
        <v>1860</v>
      </c>
    </row>
    <row r="93" spans="1:8" ht="15.75" x14ac:dyDescent="0.25">
      <c r="A93" s="8">
        <v>45855</v>
      </c>
      <c r="B93" s="6">
        <v>1</v>
      </c>
      <c r="C93" s="6" t="s">
        <v>339</v>
      </c>
      <c r="D93" s="6" t="str">
        <f>VLOOKUP(Table2[[#This Row],[contract_ID]],'Contract data'!B:F,5,FALSE)</f>
        <v>KH344</v>
      </c>
      <c r="E93" s="6">
        <v>13000000</v>
      </c>
      <c r="F93" s="6"/>
      <c r="G93" s="6">
        <v>13000000</v>
      </c>
      <c r="H93" s="6" t="s">
        <v>1858</v>
      </c>
    </row>
    <row r="94" spans="1:8" ht="15.75" x14ac:dyDescent="0.25">
      <c r="A94" s="8">
        <v>45857</v>
      </c>
      <c r="B94" s="6">
        <v>2</v>
      </c>
      <c r="C94" s="6" t="s">
        <v>271</v>
      </c>
      <c r="D94" s="6" t="str">
        <f>VLOOKUP(Table2[[#This Row],[contract_ID]],'Contract data'!B:F,5,FALSE)</f>
        <v>KH140</v>
      </c>
      <c r="E94" s="6">
        <v>10000000</v>
      </c>
      <c r="F94" s="6"/>
      <c r="G94" s="6">
        <v>10000000</v>
      </c>
      <c r="H94" s="6" t="s">
        <v>1858</v>
      </c>
    </row>
    <row r="95" spans="1:8" ht="15.75" x14ac:dyDescent="0.25">
      <c r="A95" s="8">
        <v>45859</v>
      </c>
      <c r="B95" s="6">
        <v>2</v>
      </c>
      <c r="C95" s="6" t="s">
        <v>235</v>
      </c>
      <c r="D95" s="6" t="str">
        <f>VLOOKUP(Table2[[#This Row],[contract_ID]],'Contract data'!B:F,5,FALSE)</f>
        <v>KH107</v>
      </c>
      <c r="E95" s="6">
        <v>54000000</v>
      </c>
      <c r="F95" s="6"/>
      <c r="G95" s="6">
        <v>54000000</v>
      </c>
      <c r="H95" s="6" t="s">
        <v>1858</v>
      </c>
    </row>
    <row r="96" spans="1:8" ht="15.75" x14ac:dyDescent="0.25">
      <c r="A96" s="8">
        <v>45859</v>
      </c>
      <c r="B96" s="6">
        <v>2</v>
      </c>
      <c r="C96" s="6" t="s">
        <v>316</v>
      </c>
      <c r="D96" s="6" t="str">
        <f>VLOOKUP(Table2[[#This Row],[contract_ID]],'Contract data'!B:F,5,FALSE)</f>
        <v>KH094</v>
      </c>
      <c r="E96" s="6"/>
      <c r="F96" s="6"/>
      <c r="G96" s="6">
        <v>0</v>
      </c>
      <c r="H96" s="6" t="s">
        <v>1859</v>
      </c>
    </row>
    <row r="97" spans="1:8" ht="15.75" x14ac:dyDescent="0.25">
      <c r="A97" s="8">
        <v>45838</v>
      </c>
      <c r="B97" s="6">
        <v>1</v>
      </c>
      <c r="C97" s="6" t="s">
        <v>288</v>
      </c>
      <c r="D97" s="6" t="str">
        <f>VLOOKUP(Table2[[#This Row],[contract_ID]],'Contract data'!B:F,5,FALSE)</f>
        <v>KH379</v>
      </c>
      <c r="E97" s="6">
        <v>-1300000</v>
      </c>
      <c r="F97" s="6"/>
      <c r="G97" s="6">
        <v>-1300000</v>
      </c>
      <c r="H97" s="6" t="s">
        <v>1860</v>
      </c>
    </row>
    <row r="98" spans="1:8" ht="15.75" x14ac:dyDescent="0.25">
      <c r="A98" s="8">
        <v>45861</v>
      </c>
      <c r="B98" s="6">
        <v>1</v>
      </c>
      <c r="C98" s="6" t="s">
        <v>322</v>
      </c>
      <c r="D98" s="6" t="str">
        <f>VLOOKUP(Table2[[#This Row],[contract_ID]],'Contract data'!B:F,5,FALSE)</f>
        <v>KH383</v>
      </c>
      <c r="E98" s="6">
        <v>30000000</v>
      </c>
      <c r="F98" s="6"/>
      <c r="G98" s="6">
        <v>30000000</v>
      </c>
      <c r="H98" s="6" t="s">
        <v>1858</v>
      </c>
    </row>
    <row r="99" spans="1:8" ht="15.75" x14ac:dyDescent="0.25">
      <c r="A99" s="8">
        <v>45863</v>
      </c>
      <c r="B99" s="6">
        <v>1</v>
      </c>
      <c r="C99" s="6" t="s">
        <v>329</v>
      </c>
      <c r="D99" s="6" t="str">
        <f>VLOOKUP(Table2[[#This Row],[contract_ID]],'Contract data'!B:F,5,FALSE)</f>
        <v>KH324</v>
      </c>
      <c r="E99" s="6">
        <v>10000000</v>
      </c>
      <c r="F99" s="6"/>
      <c r="G99" s="6">
        <v>10000000</v>
      </c>
      <c r="H99" s="6" t="s">
        <v>1858</v>
      </c>
    </row>
    <row r="100" spans="1:8" ht="15.75" x14ac:dyDescent="0.25">
      <c r="A100" s="8">
        <v>45866</v>
      </c>
      <c r="B100" s="6">
        <v>3</v>
      </c>
      <c r="C100" s="6" t="s">
        <v>231</v>
      </c>
      <c r="D100" s="6" t="str">
        <f>VLOOKUP(Table2[[#This Row],[contract_ID]],'Contract data'!B:F,5,FALSE)</f>
        <v>KH224</v>
      </c>
      <c r="E100" s="6"/>
      <c r="F100" s="6"/>
      <c r="G100" s="6">
        <v>0</v>
      </c>
      <c r="H100" s="6" t="s">
        <v>1859</v>
      </c>
    </row>
    <row r="101" spans="1:8" ht="15.75" x14ac:dyDescent="0.25">
      <c r="A101" s="8">
        <v>45874</v>
      </c>
      <c r="B101" s="6">
        <v>1</v>
      </c>
      <c r="C101" s="6" t="s">
        <v>298</v>
      </c>
      <c r="D101" s="6" t="str">
        <f>VLOOKUP(Table2[[#This Row],[contract_ID]],'Contract data'!B:F,5,FALSE)</f>
        <v>KH152</v>
      </c>
      <c r="E101" s="6">
        <v>5000000</v>
      </c>
      <c r="F101" s="6"/>
      <c r="G101" s="6">
        <v>5000000</v>
      </c>
      <c r="H101" s="6" t="s">
        <v>1858</v>
      </c>
    </row>
    <row r="102" spans="1:8" ht="15.75" x14ac:dyDescent="0.25">
      <c r="A102" s="8">
        <v>45877</v>
      </c>
      <c r="B102" s="6">
        <v>2</v>
      </c>
      <c r="C102" s="6" t="s">
        <v>881</v>
      </c>
      <c r="D102" s="6" t="str">
        <f>VLOOKUP(Table2[[#This Row],[contract_ID]],'Contract data'!B:F,5,FALSE)</f>
        <v>KH036</v>
      </c>
      <c r="E102" s="6">
        <v>19000000</v>
      </c>
      <c r="F102" s="6"/>
      <c r="G102" s="6">
        <v>19000000</v>
      </c>
      <c r="H102" s="6" t="s">
        <v>1858</v>
      </c>
    </row>
    <row r="103" spans="1:8" ht="15.75" x14ac:dyDescent="0.25">
      <c r="A103" s="8">
        <v>45881</v>
      </c>
      <c r="B103" s="6">
        <v>1</v>
      </c>
      <c r="C103" s="6" t="s">
        <v>345</v>
      </c>
      <c r="D103" s="6" t="str">
        <f>VLOOKUP(Table2[[#This Row],[contract_ID]],'Contract data'!B:F,5,FALSE)</f>
        <v>KH155</v>
      </c>
      <c r="E103" s="6">
        <v>4000000</v>
      </c>
      <c r="F103" s="6"/>
      <c r="G103" s="6">
        <v>4000000</v>
      </c>
      <c r="H103" s="6" t="s">
        <v>1858</v>
      </c>
    </row>
    <row r="104" spans="1:8" ht="15.75" x14ac:dyDescent="0.25">
      <c r="A104" s="8">
        <v>45882</v>
      </c>
      <c r="B104" s="6">
        <v>1</v>
      </c>
      <c r="C104" s="6" t="s">
        <v>340</v>
      </c>
      <c r="D104" s="6" t="str">
        <f>VLOOKUP(Table2[[#This Row],[contract_ID]],'Contract data'!B:F,5,FALSE)</f>
        <v>KH171</v>
      </c>
      <c r="E104" s="6"/>
      <c r="F104" s="6"/>
      <c r="G104" s="6">
        <v>0</v>
      </c>
      <c r="H104" s="6" t="s">
        <v>1859</v>
      </c>
    </row>
    <row r="105" spans="1:8" ht="15.75" x14ac:dyDescent="0.25">
      <c r="A105" s="8">
        <v>45882</v>
      </c>
      <c r="B105" s="6">
        <v>1</v>
      </c>
      <c r="C105" s="6" t="s">
        <v>370</v>
      </c>
      <c r="D105" s="6" t="str">
        <f>VLOOKUP(Table2[[#This Row],[contract_ID]],'Contract data'!B:F,5,FALSE)</f>
        <v>KH327</v>
      </c>
      <c r="E105" s="6">
        <v>-10000000</v>
      </c>
      <c r="F105" s="6"/>
      <c r="G105" s="6">
        <v>-10000000</v>
      </c>
      <c r="H105" s="6" t="s">
        <v>1860</v>
      </c>
    </row>
    <row r="106" spans="1:8" ht="15.75" x14ac:dyDescent="0.25">
      <c r="A106" s="8">
        <v>45881</v>
      </c>
      <c r="B106" s="6">
        <v>1</v>
      </c>
      <c r="C106" s="6" t="s">
        <v>350</v>
      </c>
      <c r="D106" s="6" t="str">
        <f>VLOOKUP(Table2[[#This Row],[contract_ID]],'Contract data'!B:F,5,FALSE)</f>
        <v>KH104</v>
      </c>
      <c r="E106" s="6">
        <v>10000000</v>
      </c>
      <c r="F106" s="6"/>
      <c r="G106" s="6">
        <v>10000000</v>
      </c>
      <c r="H106" s="6" t="s">
        <v>1858</v>
      </c>
    </row>
    <row r="107" spans="1:8" ht="15.75" x14ac:dyDescent="0.25">
      <c r="A107" s="8">
        <v>45883</v>
      </c>
      <c r="B107" s="6">
        <v>1</v>
      </c>
      <c r="C107" s="6" t="s">
        <v>354</v>
      </c>
      <c r="D107" s="6" t="str">
        <f>VLOOKUP(Table2[[#This Row],[contract_ID]],'Contract data'!B:F,5,FALSE)</f>
        <v>KH108</v>
      </c>
      <c r="E107" s="6"/>
      <c r="F107" s="6"/>
      <c r="G107" s="6">
        <v>0</v>
      </c>
      <c r="H107" s="6" t="s">
        <v>1859</v>
      </c>
    </row>
    <row r="108" spans="1:8" ht="15.75" x14ac:dyDescent="0.25">
      <c r="A108" s="8">
        <v>45791</v>
      </c>
      <c r="B108" s="6">
        <v>2</v>
      </c>
      <c r="C108" s="6" t="s">
        <v>304</v>
      </c>
      <c r="D108" s="6" t="str">
        <f>VLOOKUP(Table2[[#This Row],[contract_ID]],'Contract data'!B:F,5,FALSE)</f>
        <v>KH082</v>
      </c>
      <c r="E108" s="6">
        <v>85000000</v>
      </c>
      <c r="F108" s="6"/>
      <c r="G108" s="6">
        <v>85000000</v>
      </c>
      <c r="H108" s="6" t="s">
        <v>1858</v>
      </c>
    </row>
    <row r="109" spans="1:8" ht="15.75" x14ac:dyDescent="0.25">
      <c r="A109" s="8">
        <v>45868</v>
      </c>
      <c r="B109" s="6">
        <v>1</v>
      </c>
      <c r="C109" s="6" t="s">
        <v>261</v>
      </c>
      <c r="D109" s="6" t="str">
        <f>VLOOKUP(Table2[[#This Row],[contract_ID]],'Contract data'!B:F,5,FALSE)</f>
        <v>KH292</v>
      </c>
      <c r="E109" s="6">
        <v>4700000</v>
      </c>
      <c r="F109" s="6"/>
      <c r="G109" s="6">
        <v>4700000</v>
      </c>
      <c r="H109" s="6" t="s">
        <v>1858</v>
      </c>
    </row>
    <row r="110" spans="1:8" ht="15.75" x14ac:dyDescent="0.25">
      <c r="A110" s="8">
        <v>45888</v>
      </c>
      <c r="B110" s="6">
        <v>1</v>
      </c>
      <c r="C110" s="6" t="s">
        <v>371</v>
      </c>
      <c r="D110" s="6" t="str">
        <f>VLOOKUP(Table2[[#This Row],[contract_ID]],'Contract data'!B:F,5,FALSE)</f>
        <v>KH115</v>
      </c>
      <c r="E110" s="6">
        <v>-2500000</v>
      </c>
      <c r="F110" s="6"/>
      <c r="G110" s="6">
        <v>-2500000</v>
      </c>
      <c r="H110" s="6" t="s">
        <v>1860</v>
      </c>
    </row>
    <row r="111" spans="1:8" ht="15.75" x14ac:dyDescent="0.25">
      <c r="A111" s="8">
        <v>45890</v>
      </c>
      <c r="B111" s="6">
        <v>2</v>
      </c>
      <c r="C111" s="6" t="s">
        <v>168</v>
      </c>
      <c r="D111" s="6" t="str">
        <f>VLOOKUP(Table2[[#This Row],[contract_ID]],'Contract data'!B:F,5,FALSE)</f>
        <v>KH254</v>
      </c>
      <c r="E111" s="6">
        <v>-2856000</v>
      </c>
      <c r="F111" s="6"/>
      <c r="G111" s="6">
        <v>-2856000</v>
      </c>
      <c r="H111" s="6" t="s">
        <v>1860</v>
      </c>
    </row>
    <row r="112" spans="1:8" ht="15.75" x14ac:dyDescent="0.25">
      <c r="A112" s="8">
        <v>45890</v>
      </c>
      <c r="B112" s="6">
        <v>1</v>
      </c>
      <c r="C112" s="6" t="s">
        <v>367</v>
      </c>
      <c r="D112" s="6" t="str">
        <f>VLOOKUP(Table2[[#This Row],[contract_ID]],'Contract data'!B:F,5,FALSE)</f>
        <v>KH116</v>
      </c>
      <c r="E112" s="6"/>
      <c r="F112" s="6"/>
      <c r="G112" s="6">
        <v>0</v>
      </c>
      <c r="H112" s="6" t="s">
        <v>1859</v>
      </c>
    </row>
    <row r="113" spans="1:8" ht="15.75" x14ac:dyDescent="0.25">
      <c r="A113" s="8">
        <v>45891</v>
      </c>
      <c r="B113" s="6">
        <v>2</v>
      </c>
      <c r="C113" s="6" t="s">
        <v>286</v>
      </c>
      <c r="D113" s="6" t="str">
        <f>VLOOKUP(Table2[[#This Row],[contract_ID]],'Contract data'!B:F,5,FALSE)</f>
        <v>KH075</v>
      </c>
      <c r="E113" s="6">
        <v>-1000000</v>
      </c>
      <c r="F113" s="6"/>
      <c r="G113" s="6">
        <v>-1000000</v>
      </c>
      <c r="H113" s="6" t="s">
        <v>1860</v>
      </c>
    </row>
    <row r="114" spans="1:8" ht="15.75" x14ac:dyDescent="0.25">
      <c r="A114" s="8">
        <v>45891</v>
      </c>
      <c r="B114" s="6">
        <v>1</v>
      </c>
      <c r="C114" s="6" t="s">
        <v>260</v>
      </c>
      <c r="D114" s="6" t="str">
        <f>VLOOKUP(Table2[[#This Row],[contract_ID]],'Contract data'!B:F,5,FALSE)</f>
        <v>KH332</v>
      </c>
      <c r="E114" s="6">
        <v>52000000</v>
      </c>
      <c r="F114" s="6"/>
      <c r="G114" s="6">
        <v>52000000</v>
      </c>
      <c r="H114" s="6" t="s">
        <v>1858</v>
      </c>
    </row>
    <row r="115" spans="1:8" ht="15.75" x14ac:dyDescent="0.25">
      <c r="A115" s="8">
        <v>45903</v>
      </c>
      <c r="B115" s="6">
        <v>1</v>
      </c>
      <c r="C115" s="6" t="s">
        <v>138</v>
      </c>
      <c r="D115" s="6" t="str">
        <f>VLOOKUP(Table2[[#This Row],[contract_ID]],'Contract data'!B:F,5,FALSE)</f>
        <v>KH302</v>
      </c>
      <c r="E115" s="6">
        <v>-4750000</v>
      </c>
      <c r="F115" s="6"/>
      <c r="G115" s="6">
        <v>-4750000</v>
      </c>
      <c r="H115" s="6" t="s">
        <v>1860</v>
      </c>
    </row>
    <row r="116" spans="1:8" ht="15.75" x14ac:dyDescent="0.25">
      <c r="A116" s="8">
        <v>45896</v>
      </c>
      <c r="B116" s="6">
        <v>2</v>
      </c>
      <c r="C116" s="6" t="s">
        <v>237</v>
      </c>
      <c r="D116" s="6" t="str">
        <f>VLOOKUP(Table2[[#This Row],[contract_ID]],'Contract data'!B:F,5,FALSE)</f>
        <v>KH233</v>
      </c>
      <c r="E116" s="6">
        <v>2000000</v>
      </c>
      <c r="F116" s="6"/>
      <c r="G116" s="6">
        <v>2000000</v>
      </c>
      <c r="H116" s="6" t="s">
        <v>1858</v>
      </c>
    </row>
    <row r="117" spans="1:8" ht="15.75" x14ac:dyDescent="0.25">
      <c r="A117" s="8">
        <v>45903</v>
      </c>
      <c r="B117" s="6">
        <v>1</v>
      </c>
      <c r="C117" s="6" t="s">
        <v>356</v>
      </c>
      <c r="D117" s="6" t="str">
        <f>VLOOKUP(Table2[[#This Row],[contract_ID]],'Contract data'!B:F,5,FALSE)</f>
        <v>KH167</v>
      </c>
      <c r="E117" s="6"/>
      <c r="F117" s="6"/>
      <c r="G117" s="6">
        <v>0</v>
      </c>
      <c r="H117" s="6" t="s">
        <v>1859</v>
      </c>
    </row>
    <row r="118" spans="1:8" ht="15.75" x14ac:dyDescent="0.25">
      <c r="A118" s="8">
        <v>45899</v>
      </c>
      <c r="B118" s="6">
        <v>2</v>
      </c>
      <c r="C118" s="6" t="s">
        <v>356</v>
      </c>
      <c r="D118" s="6" t="str">
        <f>VLOOKUP(Table2[[#This Row],[contract_ID]],'Contract data'!B:F,5,FALSE)</f>
        <v>KH167</v>
      </c>
      <c r="E118" s="6"/>
      <c r="F118" s="6"/>
      <c r="G118" s="6">
        <v>0</v>
      </c>
      <c r="H118" s="6" t="s">
        <v>1859</v>
      </c>
    </row>
    <row r="119" spans="1:8" ht="15.75" x14ac:dyDescent="0.25">
      <c r="A119" s="8">
        <v>45888</v>
      </c>
      <c r="B119" s="6">
        <v>1</v>
      </c>
      <c r="C119" s="6" t="s">
        <v>369</v>
      </c>
      <c r="D119" s="6" t="str">
        <f>VLOOKUP(Table2[[#This Row],[contract_ID]],'Contract data'!B:F,5,FALSE)</f>
        <v>KH239</v>
      </c>
      <c r="E119" s="6"/>
      <c r="F119" s="6"/>
      <c r="G119" s="6">
        <v>0</v>
      </c>
      <c r="H119" s="6" t="s">
        <v>1859</v>
      </c>
    </row>
    <row r="120" spans="1:8" ht="15.75" x14ac:dyDescent="0.25">
      <c r="A120" s="8">
        <v>45897</v>
      </c>
      <c r="B120" s="6">
        <v>2</v>
      </c>
      <c r="C120" s="6" t="s">
        <v>298</v>
      </c>
      <c r="D120" s="6" t="str">
        <f>VLOOKUP(Table2[[#This Row],[contract_ID]],'Contract data'!B:F,5,FALSE)</f>
        <v>KH152</v>
      </c>
      <c r="E120" s="6"/>
      <c r="F120" s="6"/>
      <c r="G120" s="6">
        <v>0</v>
      </c>
      <c r="H120" s="6" t="s">
        <v>1859</v>
      </c>
    </row>
    <row r="121" spans="1:8" ht="15.75" x14ac:dyDescent="0.25">
      <c r="A121" s="8">
        <v>45905</v>
      </c>
      <c r="B121" s="6">
        <v>1</v>
      </c>
      <c r="C121" s="6" t="s">
        <v>283</v>
      </c>
      <c r="D121" s="6" t="str">
        <f>VLOOKUP(Table2[[#This Row],[contract_ID]],'Contract data'!B:F,5,FALSE)</f>
        <v>KH339</v>
      </c>
      <c r="E121" s="6">
        <v>3000000</v>
      </c>
      <c r="F121" s="6"/>
      <c r="G121" s="6">
        <v>3000000</v>
      </c>
      <c r="H121" s="6" t="s">
        <v>1858</v>
      </c>
    </row>
    <row r="122" spans="1:8" ht="15.75" x14ac:dyDescent="0.25">
      <c r="A122" s="8">
        <v>45904</v>
      </c>
      <c r="B122" s="6">
        <v>2</v>
      </c>
      <c r="C122" s="6" t="s">
        <v>371</v>
      </c>
      <c r="D122" s="6" t="str">
        <f>VLOOKUP(Table2[[#This Row],[contract_ID]],'Contract data'!B:F,5,FALSE)</f>
        <v>KH115</v>
      </c>
      <c r="E122" s="6">
        <v>12000000</v>
      </c>
      <c r="F122" s="6"/>
      <c r="G122" s="6">
        <v>12000000</v>
      </c>
      <c r="H122" s="6" t="s">
        <v>1858</v>
      </c>
    </row>
    <row r="123" spans="1:8" ht="15.75" x14ac:dyDescent="0.25">
      <c r="A123" s="8">
        <v>45900</v>
      </c>
      <c r="B123" s="6">
        <v>2</v>
      </c>
      <c r="C123" s="6" t="s">
        <v>370</v>
      </c>
      <c r="D123" s="6" t="str">
        <f>VLOOKUP(Table2[[#This Row],[contract_ID]],'Contract data'!B:F,5,FALSE)</f>
        <v>KH327</v>
      </c>
      <c r="E123" s="6">
        <v>17500000</v>
      </c>
      <c r="F123" s="6"/>
      <c r="G123" s="6">
        <v>17500000</v>
      </c>
      <c r="H123" s="6" t="s">
        <v>1858</v>
      </c>
    </row>
    <row r="124" spans="1:8" ht="15.75" x14ac:dyDescent="0.25">
      <c r="A124" s="8">
        <v>45891</v>
      </c>
      <c r="B124" s="6">
        <v>1</v>
      </c>
      <c r="C124" s="6" t="s">
        <v>326</v>
      </c>
      <c r="D124" s="6" t="str">
        <f>VLOOKUP(Table2[[#This Row],[contract_ID]],'Contract data'!B:F,5,FALSE)</f>
        <v>KH381</v>
      </c>
      <c r="E124" s="6">
        <v>55000000</v>
      </c>
      <c r="F124" s="6"/>
      <c r="G124" s="6">
        <v>55000000</v>
      </c>
      <c r="H124" s="6" t="s">
        <v>1858</v>
      </c>
    </row>
    <row r="125" spans="1:8" ht="15.75" x14ac:dyDescent="0.25">
      <c r="A125" s="8">
        <v>45905</v>
      </c>
      <c r="B125" s="6">
        <v>2</v>
      </c>
      <c r="C125" s="6" t="s">
        <v>263</v>
      </c>
      <c r="D125" s="6" t="str">
        <f>VLOOKUP(Table2[[#This Row],[contract_ID]],'Contract data'!B:F,5,FALSE)</f>
        <v>KH030</v>
      </c>
      <c r="E125" s="6">
        <v>2000000</v>
      </c>
      <c r="F125" s="6"/>
      <c r="G125" s="6">
        <v>2000000</v>
      </c>
      <c r="H125" s="6" t="s">
        <v>1858</v>
      </c>
    </row>
    <row r="126" spans="1:8" ht="15.75" x14ac:dyDescent="0.25">
      <c r="A126" s="8">
        <v>45910</v>
      </c>
      <c r="B126" s="6">
        <v>2</v>
      </c>
      <c r="C126" s="6" t="s">
        <v>318</v>
      </c>
      <c r="D126" s="6" t="str">
        <f>VLOOKUP(Table2[[#This Row],[contract_ID]],'Contract data'!B:F,5,FALSE)</f>
        <v>KH169</v>
      </c>
      <c r="E126" s="6"/>
      <c r="F126" s="6"/>
      <c r="G126" s="6">
        <v>0</v>
      </c>
      <c r="H126" s="6" t="s">
        <v>1859</v>
      </c>
    </row>
    <row r="127" spans="1:8" ht="15.75" x14ac:dyDescent="0.25">
      <c r="A127" s="8">
        <v>45908</v>
      </c>
      <c r="B127" s="6">
        <v>1</v>
      </c>
      <c r="C127" s="6" t="s">
        <v>257</v>
      </c>
      <c r="D127" s="6" t="str">
        <f>VLOOKUP(Table2[[#This Row],[contract_ID]],'Contract data'!B:F,5,FALSE)</f>
        <v>KH335</v>
      </c>
      <c r="E127" s="6">
        <v>26000000</v>
      </c>
      <c r="F127" s="6"/>
      <c r="G127" s="6">
        <v>26000000</v>
      </c>
      <c r="H127" s="6" t="s">
        <v>1858</v>
      </c>
    </row>
    <row r="128" spans="1:8" ht="15.75" x14ac:dyDescent="0.25">
      <c r="A128" s="8">
        <v>45911</v>
      </c>
      <c r="B128" s="6">
        <v>3</v>
      </c>
      <c r="C128" s="6" t="s">
        <v>318</v>
      </c>
      <c r="D128" s="6" t="str">
        <f>VLOOKUP(Table2[[#This Row],[contract_ID]],'Contract data'!B:F,5,FALSE)</f>
        <v>KH169</v>
      </c>
      <c r="E128" s="6"/>
      <c r="F128" s="6"/>
      <c r="G128" s="6">
        <v>0</v>
      </c>
      <c r="H128" s="6" t="s">
        <v>1859</v>
      </c>
    </row>
    <row r="129" spans="1:8" ht="15.75" x14ac:dyDescent="0.25">
      <c r="A129" s="8">
        <v>45894</v>
      </c>
      <c r="B129" s="6">
        <v>1</v>
      </c>
      <c r="C129" s="6" t="s">
        <v>355</v>
      </c>
      <c r="D129" s="6" t="str">
        <f>VLOOKUP(Table2[[#This Row],[contract_ID]],'Contract data'!B:F,5,FALSE)</f>
        <v>KH156</v>
      </c>
      <c r="E129" s="6"/>
      <c r="F129" s="6"/>
      <c r="G129" s="6">
        <v>0</v>
      </c>
      <c r="H129" s="6" t="s">
        <v>1859</v>
      </c>
    </row>
    <row r="130" spans="1:8" ht="15.75" x14ac:dyDescent="0.25">
      <c r="A130" s="8">
        <v>45913</v>
      </c>
      <c r="B130" s="6">
        <v>1</v>
      </c>
      <c r="C130" s="6" t="s">
        <v>383</v>
      </c>
      <c r="D130" s="6" t="str">
        <f>VLOOKUP(Table2[[#This Row],[contract_ID]],'Contract data'!B:F,5,FALSE)</f>
        <v>KH349</v>
      </c>
      <c r="E130" s="6">
        <v>6000000</v>
      </c>
      <c r="F130" s="6"/>
      <c r="G130" s="6">
        <v>6000000</v>
      </c>
      <c r="H130" s="6" t="s">
        <v>1858</v>
      </c>
    </row>
    <row r="131" spans="1:8" ht="15.75" x14ac:dyDescent="0.25">
      <c r="A131" s="8">
        <v>45912</v>
      </c>
      <c r="B131" s="6">
        <v>1</v>
      </c>
      <c r="C131" s="6" t="s">
        <v>386</v>
      </c>
      <c r="D131" s="6" t="str">
        <f>VLOOKUP(Table2[[#This Row],[contract_ID]],'Contract data'!B:F,5,FALSE)</f>
        <v>KH125</v>
      </c>
      <c r="E131" s="6"/>
      <c r="F131" s="6"/>
      <c r="G131" s="6">
        <v>0</v>
      </c>
      <c r="H131" s="6" t="s">
        <v>1859</v>
      </c>
    </row>
    <row r="132" spans="1:8" ht="15.75" x14ac:dyDescent="0.25">
      <c r="A132" s="8">
        <v>45912</v>
      </c>
      <c r="B132" s="6">
        <v>1</v>
      </c>
      <c r="C132" s="6" t="s">
        <v>360</v>
      </c>
      <c r="D132" s="6" t="str">
        <f>VLOOKUP(Table2[[#This Row],[contract_ID]],'Contract data'!B:F,5,FALSE)</f>
        <v>KH113</v>
      </c>
      <c r="E132" s="6"/>
      <c r="F132" s="6"/>
      <c r="G132" s="6">
        <v>0</v>
      </c>
      <c r="H132" s="6" t="s">
        <v>1859</v>
      </c>
    </row>
    <row r="133" spans="1:8" ht="15.75" x14ac:dyDescent="0.25">
      <c r="A133" s="8">
        <v>45913</v>
      </c>
      <c r="B133" s="6">
        <v>2</v>
      </c>
      <c r="C133" s="6" t="s">
        <v>339</v>
      </c>
      <c r="D133" s="6" t="str">
        <f>VLOOKUP(Table2[[#This Row],[contract_ID]],'Contract data'!B:F,5,FALSE)</f>
        <v>KH344</v>
      </c>
      <c r="E133" s="6"/>
      <c r="F133" s="6"/>
      <c r="G133" s="6">
        <v>0</v>
      </c>
      <c r="H133" s="6" t="s">
        <v>1859</v>
      </c>
    </row>
    <row r="134" spans="1:8" ht="15.75" x14ac:dyDescent="0.25">
      <c r="A134" s="8">
        <v>45916</v>
      </c>
      <c r="B134" s="6">
        <v>1</v>
      </c>
      <c r="C134" s="6" t="s">
        <v>128</v>
      </c>
      <c r="D134" s="6" t="str">
        <f>VLOOKUP(Table2[[#This Row],[contract_ID]],'Contract data'!B:F,5,FALSE)</f>
        <v>KH054</v>
      </c>
      <c r="E134" s="6">
        <v>2000000</v>
      </c>
      <c r="F134" s="6"/>
      <c r="G134" s="6">
        <v>2000000</v>
      </c>
      <c r="H134" s="6" t="s">
        <v>1858</v>
      </c>
    </row>
    <row r="135" spans="1:8" ht="15.75" x14ac:dyDescent="0.25">
      <c r="A135" s="8">
        <v>45911</v>
      </c>
      <c r="B135" s="6">
        <v>2</v>
      </c>
      <c r="C135" s="6" t="s">
        <v>292</v>
      </c>
      <c r="D135" s="6" t="str">
        <f>VLOOKUP(Table2[[#This Row],[contract_ID]],'Contract data'!B:F,5,FALSE)</f>
        <v>KH148</v>
      </c>
      <c r="E135" s="6">
        <v>2500000</v>
      </c>
      <c r="F135" s="6"/>
      <c r="G135" s="6">
        <v>2500000</v>
      </c>
      <c r="H135" s="6" t="s">
        <v>1858</v>
      </c>
    </row>
    <row r="136" spans="1:8" ht="15.75" x14ac:dyDescent="0.25">
      <c r="A136" s="8">
        <v>45915</v>
      </c>
      <c r="B136" s="6">
        <v>1</v>
      </c>
      <c r="C136" s="6" t="s">
        <v>387</v>
      </c>
      <c r="D136" s="6" t="str">
        <f>VLOOKUP(Table2[[#This Row],[contract_ID]],'Contract data'!B:F,5,FALSE)</f>
        <v>KH072</v>
      </c>
      <c r="E136" s="6"/>
      <c r="F136" s="6"/>
      <c r="G136" s="6">
        <v>0</v>
      </c>
      <c r="H136" s="6" t="s">
        <v>1859</v>
      </c>
    </row>
    <row r="137" spans="1:8" ht="15.75" x14ac:dyDescent="0.25">
      <c r="A137" s="8">
        <v>45917</v>
      </c>
      <c r="B137" s="6">
        <v>2</v>
      </c>
      <c r="C137" s="6" t="s">
        <v>354</v>
      </c>
      <c r="D137" s="6" t="str">
        <f>VLOOKUP(Table2[[#This Row],[contract_ID]],'Contract data'!B:F,5,FALSE)</f>
        <v>KH108</v>
      </c>
      <c r="E137" s="6">
        <v>50000000</v>
      </c>
      <c r="F137" s="6"/>
      <c r="G137" s="6">
        <v>50000000</v>
      </c>
      <c r="H137" s="6" t="s">
        <v>1858</v>
      </c>
    </row>
    <row r="138" spans="1:8" ht="15.75" x14ac:dyDescent="0.25">
      <c r="A138" s="8">
        <v>45920</v>
      </c>
      <c r="B138" s="6">
        <v>2</v>
      </c>
      <c r="C138" s="6" t="s">
        <v>217</v>
      </c>
      <c r="D138" s="6" t="str">
        <f>VLOOKUP(Table2[[#This Row],[contract_ID]],'Contract data'!B:F,5,FALSE)</f>
        <v>KH112</v>
      </c>
      <c r="E138" s="6"/>
      <c r="F138" s="6"/>
      <c r="G138" s="6">
        <v>0</v>
      </c>
      <c r="H138" s="6" t="s">
        <v>1859</v>
      </c>
    </row>
    <row r="139" spans="1:8" ht="15.75" x14ac:dyDescent="0.25">
      <c r="A139" s="8">
        <v>45910</v>
      </c>
      <c r="B139" s="6">
        <v>3</v>
      </c>
      <c r="C139" s="6" t="s">
        <v>304</v>
      </c>
      <c r="D139" s="6" t="str">
        <f>VLOOKUP(Table2[[#This Row],[contract_ID]],'Contract data'!B:F,5,FALSE)</f>
        <v>KH082</v>
      </c>
      <c r="E139" s="6">
        <v>248000000</v>
      </c>
      <c r="F139" s="6"/>
      <c r="G139" s="6">
        <v>248000000</v>
      </c>
      <c r="H139" s="6" t="s">
        <v>1858</v>
      </c>
    </row>
    <row r="140" spans="1:8" ht="15.75" x14ac:dyDescent="0.25">
      <c r="A140" s="8">
        <v>45924</v>
      </c>
      <c r="B140" s="6">
        <v>4</v>
      </c>
      <c r="C140" s="6" t="s">
        <v>318</v>
      </c>
      <c r="D140" s="6" t="str">
        <f>VLOOKUP(Table2[[#This Row],[contract_ID]],'Contract data'!B:F,5,FALSE)</f>
        <v>KH169</v>
      </c>
      <c r="E140" s="6">
        <v>500000</v>
      </c>
      <c r="F140" s="6"/>
      <c r="G140" s="6">
        <v>500000</v>
      </c>
      <c r="H140" s="6" t="s">
        <v>1858</v>
      </c>
    </row>
    <row r="141" spans="1:8" ht="15.75" x14ac:dyDescent="0.25">
      <c r="A141" s="8">
        <v>45924</v>
      </c>
      <c r="B141" s="6">
        <v>1</v>
      </c>
      <c r="C141" s="6" t="s">
        <v>195</v>
      </c>
      <c r="D141" s="6" t="str">
        <f>VLOOKUP(Table2[[#This Row],[contract_ID]],'Contract data'!B:F,5,FALSE)</f>
        <v>KH306</v>
      </c>
      <c r="E141" s="6">
        <v>-20000000</v>
      </c>
      <c r="F141" s="6"/>
      <c r="G141" s="6">
        <v>-20000000</v>
      </c>
      <c r="H141" s="6" t="s">
        <v>1860</v>
      </c>
    </row>
    <row r="142" spans="1:8" ht="15.75" x14ac:dyDescent="0.25">
      <c r="A142" s="8">
        <v>45925</v>
      </c>
      <c r="B142" s="6">
        <v>3</v>
      </c>
      <c r="C142" s="6" t="s">
        <v>263</v>
      </c>
      <c r="D142" s="6" t="str">
        <f>VLOOKUP(Table2[[#This Row],[contract_ID]],'Contract data'!B:F,5,FALSE)</f>
        <v>KH030</v>
      </c>
      <c r="E142" s="6">
        <v>500000</v>
      </c>
      <c r="F142" s="6"/>
      <c r="G142" s="6">
        <v>500000</v>
      </c>
      <c r="H142" s="6" t="s">
        <v>1858</v>
      </c>
    </row>
    <row r="143" spans="1:8" ht="15.75" x14ac:dyDescent="0.25">
      <c r="A143" s="8">
        <v>45930</v>
      </c>
      <c r="B143" s="6">
        <v>3</v>
      </c>
      <c r="C143" s="6" t="s">
        <v>235</v>
      </c>
      <c r="D143" s="6" t="str">
        <f>VLOOKUP(Table2[[#This Row],[contract_ID]],'Contract data'!B:F,5,FALSE)</f>
        <v>KH107</v>
      </c>
      <c r="E143" s="6">
        <v>22896000</v>
      </c>
      <c r="F143" s="6"/>
      <c r="G143" s="6">
        <v>22896000</v>
      </c>
      <c r="H143" s="6" t="s">
        <v>1858</v>
      </c>
    </row>
    <row r="144" spans="1:8" ht="15.75" x14ac:dyDescent="0.25">
      <c r="A144" s="8">
        <v>45869</v>
      </c>
      <c r="B144" s="6">
        <v>1</v>
      </c>
      <c r="C144" s="6" t="s">
        <v>349</v>
      </c>
      <c r="D144" s="6" t="str">
        <f>VLOOKUP(Table2[[#This Row],[contract_ID]],'Contract data'!B:F,5,FALSE)</f>
        <v>KH326</v>
      </c>
      <c r="E144" s="6"/>
      <c r="F144" s="6"/>
      <c r="G144" s="6">
        <v>0</v>
      </c>
      <c r="H144" s="6" t="s">
        <v>1859</v>
      </c>
    </row>
    <row r="145" spans="1:8" ht="15.75" x14ac:dyDescent="0.25">
      <c r="A145" s="8">
        <v>45933</v>
      </c>
      <c r="B145" s="6">
        <v>2</v>
      </c>
      <c r="C145" s="6" t="s">
        <v>340</v>
      </c>
      <c r="D145" s="6" t="str">
        <f>VLOOKUP(Table2[[#This Row],[contract_ID]],'Contract data'!B:F,5,FALSE)</f>
        <v>KH171</v>
      </c>
      <c r="E145" s="6"/>
      <c r="F145" s="6"/>
      <c r="G145" s="6">
        <v>0</v>
      </c>
      <c r="H145" s="6" t="s">
        <v>1859</v>
      </c>
    </row>
    <row r="146" spans="1:8" ht="15.75" x14ac:dyDescent="0.25">
      <c r="A146" s="8">
        <v>45930</v>
      </c>
      <c r="B146" s="6">
        <v>1</v>
      </c>
      <c r="C146" s="6" t="s">
        <v>320</v>
      </c>
      <c r="D146" s="6" t="str">
        <f>VLOOKUP(Table2[[#This Row],[contract_ID]],'Contract data'!B:F,5,FALSE)</f>
        <v>KH180</v>
      </c>
      <c r="E146" s="6">
        <v>20000000</v>
      </c>
      <c r="F146" s="6"/>
      <c r="G146" s="6">
        <v>20000000</v>
      </c>
      <c r="H146" s="6" t="s">
        <v>1858</v>
      </c>
    </row>
    <row r="147" spans="1:8" ht="15.75" x14ac:dyDescent="0.25">
      <c r="A147" s="8">
        <v>45937</v>
      </c>
      <c r="B147" s="6">
        <v>1</v>
      </c>
      <c r="C147" s="6" t="s">
        <v>170</v>
      </c>
      <c r="D147" s="6" t="str">
        <f>VLOOKUP(Table2[[#This Row],[contract_ID]],'Contract data'!B:F,5,FALSE)</f>
        <v>KH046</v>
      </c>
      <c r="E147" s="6">
        <v>-2000000</v>
      </c>
      <c r="F147" s="6"/>
      <c r="G147" s="6">
        <v>-2000000</v>
      </c>
      <c r="H147" s="6" t="s">
        <v>1860</v>
      </c>
    </row>
    <row r="148" spans="1:8" ht="15.75" x14ac:dyDescent="0.25">
      <c r="A148" s="8">
        <v>45938</v>
      </c>
      <c r="B148" s="6">
        <v>1</v>
      </c>
      <c r="C148" s="6" t="s">
        <v>344</v>
      </c>
      <c r="D148" s="6" t="str">
        <f>VLOOKUP(Table2[[#This Row],[contract_ID]],'Contract data'!B:F,5,FALSE)</f>
        <v>KH101</v>
      </c>
      <c r="E148" s="6">
        <v>12000000</v>
      </c>
      <c r="F148" s="6"/>
      <c r="G148" s="6">
        <v>12000000</v>
      </c>
      <c r="H148" s="6" t="s">
        <v>1858</v>
      </c>
    </row>
    <row r="149" spans="1:8" ht="15.75" x14ac:dyDescent="0.25">
      <c r="A149" s="8">
        <v>45899</v>
      </c>
      <c r="B149" s="6">
        <v>1</v>
      </c>
      <c r="C149" s="6" t="s">
        <v>365</v>
      </c>
      <c r="D149" s="6" t="str">
        <f>VLOOKUP(Table2[[#This Row],[contract_ID]],'Contract data'!B:F,5,FALSE)</f>
        <v>KH077</v>
      </c>
      <c r="E149" s="6"/>
      <c r="F149" s="6"/>
      <c r="G149" s="6">
        <v>0</v>
      </c>
      <c r="H149" s="6" t="s">
        <v>1859</v>
      </c>
    </row>
    <row r="150" spans="1:8" ht="15.75" x14ac:dyDescent="0.25">
      <c r="A150" s="8">
        <v>45932</v>
      </c>
      <c r="B150" s="6">
        <v>1</v>
      </c>
      <c r="C150" s="6" t="s">
        <v>193</v>
      </c>
      <c r="D150" s="6" t="str">
        <f>VLOOKUP(Table2[[#This Row],[contract_ID]],'Contract data'!B:F,5,FALSE)</f>
        <v>KH285</v>
      </c>
      <c r="E150" s="6"/>
      <c r="F150" s="6"/>
      <c r="G150" s="6">
        <v>0</v>
      </c>
      <c r="H150" s="6" t="s">
        <v>1859</v>
      </c>
    </row>
    <row r="151" spans="1:8" ht="15.75" x14ac:dyDescent="0.25">
      <c r="A151" s="8">
        <v>45938</v>
      </c>
      <c r="B151" s="6">
        <v>1</v>
      </c>
      <c r="C151" s="6" t="s">
        <v>399</v>
      </c>
      <c r="D151" s="6" t="str">
        <f>VLOOKUP(Table2[[#This Row],[contract_ID]],'Contract data'!B:F,5,FALSE)</f>
        <v>KH244</v>
      </c>
      <c r="E151" s="6">
        <v>15000000</v>
      </c>
      <c r="F151" s="6"/>
      <c r="G151" s="6">
        <v>15000000</v>
      </c>
      <c r="H151" s="6" t="s">
        <v>1858</v>
      </c>
    </row>
    <row r="152" spans="1:8" ht="15.75" x14ac:dyDescent="0.25">
      <c r="A152" s="8">
        <v>45937</v>
      </c>
      <c r="B152" s="6">
        <v>1</v>
      </c>
      <c r="C152" s="6" t="s">
        <v>166</v>
      </c>
      <c r="D152" s="6" t="str">
        <f>VLOOKUP(Table2[[#This Row],[contract_ID]],'Contract data'!B:F,5,FALSE)</f>
        <v>KH382</v>
      </c>
      <c r="E152" s="6">
        <v>51000000</v>
      </c>
      <c r="F152" s="6"/>
      <c r="G152" s="6">
        <v>51000000</v>
      </c>
      <c r="H152" s="6" t="s">
        <v>1858</v>
      </c>
    </row>
    <row r="153" spans="1:8" ht="15.75" x14ac:dyDescent="0.25">
      <c r="A153" s="8">
        <v>45939</v>
      </c>
      <c r="B153" s="6">
        <v>1</v>
      </c>
      <c r="C153" s="6" t="s">
        <v>253</v>
      </c>
      <c r="D153" s="6" t="str">
        <f>VLOOKUP(Table2[[#This Row],[contract_ID]],'Contract data'!B:F,5,FALSE)</f>
        <v>KH136</v>
      </c>
      <c r="E153" s="6">
        <v>26000000</v>
      </c>
      <c r="F153" s="6"/>
      <c r="G153" s="6">
        <v>26000000</v>
      </c>
      <c r="H153" s="6" t="s">
        <v>1858</v>
      </c>
    </row>
    <row r="154" spans="1:8" ht="15.75" x14ac:dyDescent="0.25">
      <c r="A154" s="8">
        <v>45945</v>
      </c>
      <c r="B154" s="6">
        <v>1</v>
      </c>
      <c r="C154" s="6" t="s">
        <v>411</v>
      </c>
      <c r="D154" s="6" t="str">
        <f>VLOOKUP(Table2[[#This Row],[contract_ID]],'Contract data'!B:F,5,FALSE)</f>
        <v>KH130</v>
      </c>
      <c r="E154" s="6"/>
      <c r="F154" s="6"/>
      <c r="G154" s="6">
        <v>0</v>
      </c>
      <c r="H154" s="6" t="s">
        <v>1859</v>
      </c>
    </row>
    <row r="155" spans="1:8" ht="15.75" x14ac:dyDescent="0.25">
      <c r="A155" s="8">
        <v>45937</v>
      </c>
      <c r="B155" s="6">
        <v>1</v>
      </c>
      <c r="C155" s="6" t="s">
        <v>334</v>
      </c>
      <c r="D155" s="6" t="str">
        <f>VLOOKUP(Table2[[#This Row],[contract_ID]],'Contract data'!B:F,5,FALSE)</f>
        <v>KH317</v>
      </c>
      <c r="E155" s="6">
        <v>1000000</v>
      </c>
      <c r="F155" s="6"/>
      <c r="G155" s="6">
        <v>1000000</v>
      </c>
      <c r="H155" s="6" t="s">
        <v>1858</v>
      </c>
    </row>
    <row r="156" spans="1:8" ht="15.75" x14ac:dyDescent="0.25">
      <c r="A156" s="8">
        <v>45950</v>
      </c>
      <c r="B156" s="6">
        <v>1</v>
      </c>
      <c r="C156" s="6" t="s">
        <v>374</v>
      </c>
      <c r="D156" s="6" t="str">
        <f>VLOOKUP(Table2[[#This Row],[contract_ID]],'Contract data'!B:F,5,FALSE)</f>
        <v>KH157</v>
      </c>
      <c r="E156" s="6">
        <v>-5000000</v>
      </c>
      <c r="F156" s="6"/>
      <c r="G156" s="6">
        <v>-5000000</v>
      </c>
      <c r="H156" s="6" t="s">
        <v>1860</v>
      </c>
    </row>
    <row r="157" spans="1:8" ht="15.75" x14ac:dyDescent="0.25">
      <c r="A157" s="8">
        <v>45939</v>
      </c>
      <c r="B157" s="6">
        <v>1</v>
      </c>
      <c r="C157" s="6" t="s">
        <v>400</v>
      </c>
      <c r="D157" s="6" t="str">
        <f>VLOOKUP(Table2[[#This Row],[contract_ID]],'Contract data'!B:F,5,FALSE)</f>
        <v>KH186</v>
      </c>
      <c r="E157" s="6"/>
      <c r="F157" s="6"/>
      <c r="G157" s="6">
        <v>0</v>
      </c>
      <c r="H157" s="6" t="s">
        <v>1859</v>
      </c>
    </row>
    <row r="158" spans="1:8" ht="15.75" x14ac:dyDescent="0.25">
      <c r="A158" s="8">
        <v>45950</v>
      </c>
      <c r="B158" s="6">
        <v>1</v>
      </c>
      <c r="C158" s="6" t="s">
        <v>106</v>
      </c>
      <c r="D158" s="6" t="str">
        <f>VLOOKUP(Table2[[#This Row],[contract_ID]],'Contract data'!B:F,5,FALSE)</f>
        <v>KH231</v>
      </c>
      <c r="E158" s="6"/>
      <c r="F158" s="6"/>
      <c r="G158" s="6">
        <v>0</v>
      </c>
      <c r="H158" s="6" t="s">
        <v>1859</v>
      </c>
    </row>
    <row r="159" spans="1:8" ht="15.75" x14ac:dyDescent="0.25">
      <c r="A159" s="8">
        <v>45951</v>
      </c>
      <c r="B159" s="6">
        <v>1</v>
      </c>
      <c r="C159" s="6" t="s">
        <v>413</v>
      </c>
      <c r="D159" s="6" t="str">
        <f>VLOOKUP(Table2[[#This Row],[contract_ID]],'Contract data'!B:F,5,FALSE)</f>
        <v>KH128</v>
      </c>
      <c r="E159" s="6">
        <v>84000000</v>
      </c>
      <c r="F159" s="6"/>
      <c r="G159" s="6">
        <v>84000000</v>
      </c>
      <c r="H159" s="6" t="s">
        <v>1858</v>
      </c>
    </row>
    <row r="160" spans="1:8" ht="15.75" x14ac:dyDescent="0.25">
      <c r="A160" s="8">
        <v>45951</v>
      </c>
      <c r="B160" s="6">
        <v>1</v>
      </c>
      <c r="C160" s="6" t="s">
        <v>388</v>
      </c>
      <c r="D160" s="6" t="str">
        <f>VLOOKUP(Table2[[#This Row],[contract_ID]],'Contract data'!B:F,5,FALSE)</f>
        <v>KH184</v>
      </c>
      <c r="E160" s="6"/>
      <c r="F160" s="6"/>
      <c r="G160" s="6">
        <v>0</v>
      </c>
      <c r="H160" s="6" t="s">
        <v>1859</v>
      </c>
    </row>
    <row r="161" spans="1:8" ht="15.75" x14ac:dyDescent="0.25">
      <c r="A161" s="8">
        <v>45948</v>
      </c>
      <c r="B161" s="6">
        <v>1</v>
      </c>
      <c r="C161" s="6" t="s">
        <v>366</v>
      </c>
      <c r="D161" s="6" t="str">
        <f>VLOOKUP(Table2[[#This Row],[contract_ID]],'Contract data'!B:F,5,FALSE)</f>
        <v>KH315</v>
      </c>
      <c r="E161" s="6">
        <v>1300000</v>
      </c>
      <c r="F161" s="6"/>
      <c r="G161" s="6">
        <v>1300000</v>
      </c>
      <c r="H161" s="6" t="s">
        <v>1858</v>
      </c>
    </row>
    <row r="162" spans="1:8" ht="15.75" x14ac:dyDescent="0.25">
      <c r="A162" s="8">
        <v>45954</v>
      </c>
      <c r="B162" s="6">
        <v>1</v>
      </c>
      <c r="C162" s="6" t="s">
        <v>347</v>
      </c>
      <c r="D162" s="6" t="str">
        <f>VLOOKUP(Table2[[#This Row],[contract_ID]],'Contract data'!B:F,5,FALSE)</f>
        <v>KH236</v>
      </c>
      <c r="E162" s="6"/>
      <c r="F162" s="6"/>
      <c r="G162" s="6">
        <v>0</v>
      </c>
      <c r="H162" s="6" t="s">
        <v>1859</v>
      </c>
    </row>
    <row r="163" spans="1:8" ht="15.75" x14ac:dyDescent="0.25">
      <c r="A163" s="8">
        <v>45960</v>
      </c>
      <c r="B163" s="6">
        <v>2</v>
      </c>
      <c r="C163" s="6" t="s">
        <v>302</v>
      </c>
      <c r="D163" s="6" t="str">
        <f>VLOOKUP(Table2[[#This Row],[contract_ID]],'Contract data'!B:F,5,FALSE)</f>
        <v>KH079</v>
      </c>
      <c r="E163" s="6">
        <v>19800000</v>
      </c>
      <c r="F163" s="6"/>
      <c r="G163" s="6">
        <v>19800000</v>
      </c>
      <c r="H163" s="6" t="s">
        <v>1858</v>
      </c>
    </row>
    <row r="164" spans="1:8" ht="15.75" x14ac:dyDescent="0.25">
      <c r="A164" s="8">
        <v>45960</v>
      </c>
      <c r="B164" s="6">
        <v>1</v>
      </c>
      <c r="C164" s="6" t="s">
        <v>328</v>
      </c>
      <c r="D164" s="6" t="str">
        <f>VLOOKUP(Table2[[#This Row],[contract_ID]],'Contract data'!B:F,5,FALSE)</f>
        <v>KH081</v>
      </c>
      <c r="E164" s="6">
        <v>10000000</v>
      </c>
      <c r="F164" s="6"/>
      <c r="G164" s="6">
        <v>10000000</v>
      </c>
      <c r="H164" s="6" t="s">
        <v>1858</v>
      </c>
    </row>
    <row r="165" spans="1:8" ht="15.75" x14ac:dyDescent="0.25">
      <c r="A165" s="8">
        <v>45961</v>
      </c>
      <c r="B165" s="6">
        <v>2</v>
      </c>
      <c r="C165" s="6" t="s">
        <v>388</v>
      </c>
      <c r="D165" s="6" t="str">
        <f>VLOOKUP(Table2[[#This Row],[contract_ID]],'Contract data'!B:F,5,FALSE)</f>
        <v>KH184</v>
      </c>
      <c r="E165" s="6"/>
      <c r="F165" s="6"/>
      <c r="G165" s="6">
        <v>0</v>
      </c>
      <c r="H165" s="6" t="s">
        <v>1859</v>
      </c>
    </row>
    <row r="166" spans="1:8" ht="15.75" x14ac:dyDescent="0.25">
      <c r="A166" s="8">
        <v>45936</v>
      </c>
      <c r="B166" s="6">
        <v>1</v>
      </c>
      <c r="C166" s="6" t="s">
        <v>353</v>
      </c>
      <c r="D166" s="6" t="str">
        <f>VLOOKUP(Table2[[#This Row],[contract_ID]],'Contract data'!B:F,5,FALSE)</f>
        <v>KH318</v>
      </c>
      <c r="E166" s="6">
        <v>25000000</v>
      </c>
      <c r="F166" s="6"/>
      <c r="G166" s="6">
        <v>25000000</v>
      </c>
      <c r="H166" s="6" t="s">
        <v>1858</v>
      </c>
    </row>
    <row r="167" spans="1:8" ht="15.75" x14ac:dyDescent="0.25">
      <c r="A167" s="8">
        <v>45967</v>
      </c>
      <c r="B167" s="6">
        <v>1</v>
      </c>
      <c r="C167" s="6" t="s">
        <v>436</v>
      </c>
      <c r="D167" s="6" t="str">
        <f>VLOOKUP(Table2[[#This Row],[contract_ID]],'Contract data'!B:F,5,FALSE)</f>
        <v>KH084</v>
      </c>
      <c r="E167" s="6"/>
      <c r="F167" s="6"/>
      <c r="G167" s="6">
        <v>0</v>
      </c>
      <c r="H167" s="6" t="s">
        <v>1859</v>
      </c>
    </row>
    <row r="168" spans="1:8" ht="15.75" x14ac:dyDescent="0.25">
      <c r="A168" s="8">
        <v>45967</v>
      </c>
      <c r="B168" s="6">
        <v>1</v>
      </c>
      <c r="C168" s="6" t="s">
        <v>409</v>
      </c>
      <c r="D168" s="6" t="str">
        <f>VLOOKUP(Table2[[#This Row],[contract_ID]],'Contract data'!B:F,5,FALSE)</f>
        <v>KH331</v>
      </c>
      <c r="E168" s="6"/>
      <c r="F168" s="6"/>
      <c r="G168" s="6">
        <v>0</v>
      </c>
      <c r="H168" s="6" t="s">
        <v>1859</v>
      </c>
    </row>
    <row r="169" spans="1:8" ht="15.75" x14ac:dyDescent="0.25">
      <c r="A169" s="8">
        <v>45971</v>
      </c>
      <c r="B169" s="6">
        <v>1</v>
      </c>
      <c r="C169" s="6" t="s">
        <v>412</v>
      </c>
      <c r="D169" s="6" t="str">
        <f>VLOOKUP(Table2[[#This Row],[contract_ID]],'Contract data'!B:F,5,FALSE)</f>
        <v>KH355</v>
      </c>
      <c r="E169" s="6"/>
      <c r="F169" s="6"/>
      <c r="G169" s="6">
        <v>0</v>
      </c>
      <c r="H169" s="6" t="s">
        <v>1859</v>
      </c>
    </row>
    <row r="170" spans="1:8" ht="15.75" x14ac:dyDescent="0.25">
      <c r="A170" s="8">
        <v>45973</v>
      </c>
      <c r="B170" s="6">
        <v>1</v>
      </c>
      <c r="C170" s="6" t="s">
        <v>435</v>
      </c>
      <c r="D170" s="6" t="str">
        <f>VLOOKUP(Table2[[#This Row],[contract_ID]],'Contract data'!B:F,5,FALSE)</f>
        <v>KH178</v>
      </c>
      <c r="E170" s="6">
        <v>512000000</v>
      </c>
      <c r="F170" s="6"/>
      <c r="G170" s="6">
        <v>512000000</v>
      </c>
      <c r="H170" s="6" t="s">
        <v>1858</v>
      </c>
    </row>
    <row r="171" spans="1:8" ht="15.75" x14ac:dyDescent="0.25">
      <c r="A171" s="8">
        <v>45973</v>
      </c>
      <c r="B171" s="6">
        <v>2</v>
      </c>
      <c r="C171" s="6" t="s">
        <v>345</v>
      </c>
      <c r="D171" s="6" t="str">
        <f>VLOOKUP(Table2[[#This Row],[contract_ID]],'Contract data'!B:F,5,FALSE)</f>
        <v>KH155</v>
      </c>
      <c r="E171" s="6"/>
      <c r="F171" s="6"/>
      <c r="G171" s="6">
        <v>0</v>
      </c>
      <c r="H171" s="6" t="s">
        <v>1859</v>
      </c>
    </row>
    <row r="172" spans="1:8" ht="15.75" x14ac:dyDescent="0.25">
      <c r="A172" s="8">
        <v>45974</v>
      </c>
      <c r="B172" s="6">
        <v>2</v>
      </c>
      <c r="C172" s="6" t="s">
        <v>435</v>
      </c>
      <c r="D172" s="6" t="str">
        <f>VLOOKUP(Table2[[#This Row],[contract_ID]],'Contract data'!B:F,5,FALSE)</f>
        <v>KH178</v>
      </c>
      <c r="E172" s="6">
        <v>1500000</v>
      </c>
      <c r="F172" s="6"/>
      <c r="G172" s="6">
        <v>1500000</v>
      </c>
      <c r="H172" s="6" t="s">
        <v>1858</v>
      </c>
    </row>
    <row r="173" spans="1:8" ht="15.75" x14ac:dyDescent="0.25">
      <c r="A173" s="8">
        <v>45978</v>
      </c>
      <c r="B173" s="6">
        <v>2</v>
      </c>
      <c r="C173" s="6" t="s">
        <v>128</v>
      </c>
      <c r="D173" s="6" t="str">
        <f>VLOOKUP(Table2[[#This Row],[contract_ID]],'Contract data'!B:F,5,FALSE)</f>
        <v>KH054</v>
      </c>
      <c r="E173" s="6">
        <v>3500000</v>
      </c>
      <c r="F173" s="6"/>
      <c r="G173" s="6">
        <v>3500000</v>
      </c>
      <c r="H173" s="6" t="s">
        <v>1858</v>
      </c>
    </row>
    <row r="174" spans="1:8" ht="15.75" x14ac:dyDescent="0.25">
      <c r="A174" s="8">
        <v>45979</v>
      </c>
      <c r="B174" s="6">
        <v>1</v>
      </c>
      <c r="C174" s="6" t="s">
        <v>396</v>
      </c>
      <c r="D174" s="6" t="str">
        <f>VLOOKUP(Table2[[#This Row],[contract_ID]],'Contract data'!B:F,5,FALSE)</f>
        <v>KH322</v>
      </c>
      <c r="E174" s="6">
        <v>12000000</v>
      </c>
      <c r="F174" s="6"/>
      <c r="G174" s="6">
        <v>12000000</v>
      </c>
      <c r="H174" s="6" t="s">
        <v>1858</v>
      </c>
    </row>
    <row r="175" spans="1:8" ht="15.75" x14ac:dyDescent="0.25">
      <c r="A175" s="8">
        <v>45986</v>
      </c>
      <c r="B175" s="6">
        <v>1</v>
      </c>
      <c r="C175" s="6" t="s">
        <v>352</v>
      </c>
      <c r="D175" s="6" t="str">
        <f>VLOOKUP(Table2[[#This Row],[contract_ID]],'Contract data'!B:F,5,FALSE)</f>
        <v>KH154</v>
      </c>
      <c r="E175" s="6">
        <v>84000000</v>
      </c>
      <c r="F175" s="6"/>
      <c r="G175" s="6">
        <v>84000000</v>
      </c>
      <c r="H175" s="6" t="s">
        <v>1858</v>
      </c>
    </row>
    <row r="176" spans="1:8" ht="15.75" x14ac:dyDescent="0.25">
      <c r="A176" s="8">
        <v>45986</v>
      </c>
      <c r="B176" s="6">
        <v>1</v>
      </c>
      <c r="C176" s="6" t="s">
        <v>450</v>
      </c>
      <c r="D176" s="6" t="str">
        <f>VLOOKUP(Table2[[#This Row],[contract_ID]],'Contract data'!B:F,5,FALSE)</f>
        <v>KH066</v>
      </c>
      <c r="E176" s="6"/>
      <c r="F176" s="6"/>
      <c r="G176" s="6">
        <v>0</v>
      </c>
      <c r="H176" s="6" t="s">
        <v>1859</v>
      </c>
    </row>
    <row r="177" spans="1:8" ht="15.75" x14ac:dyDescent="0.25">
      <c r="A177" s="8">
        <v>45986</v>
      </c>
      <c r="B177" s="6">
        <v>1</v>
      </c>
      <c r="C177" s="6" t="s">
        <v>405</v>
      </c>
      <c r="D177" s="6" t="str">
        <f>VLOOKUP(Table2[[#This Row],[contract_ID]],'Contract data'!B:F,5,FALSE)</f>
        <v>KH129</v>
      </c>
      <c r="E177" s="6">
        <v>785000</v>
      </c>
      <c r="F177" s="6"/>
      <c r="G177" s="6">
        <v>785000</v>
      </c>
      <c r="H177" s="6" t="s">
        <v>1858</v>
      </c>
    </row>
    <row r="178" spans="1:8" ht="15.75" x14ac:dyDescent="0.25">
      <c r="A178" s="8">
        <v>45987</v>
      </c>
      <c r="B178" s="6">
        <v>3</v>
      </c>
      <c r="C178" s="6" t="s">
        <v>276</v>
      </c>
      <c r="D178" s="6" t="str">
        <f>VLOOKUP(Table2[[#This Row],[contract_ID]],'Contract data'!B:F,5,FALSE)</f>
        <v>KH015</v>
      </c>
      <c r="E178" s="6">
        <v>2000000</v>
      </c>
      <c r="F178" s="6"/>
      <c r="G178" s="6">
        <v>2000000</v>
      </c>
      <c r="H178" s="6" t="s">
        <v>1858</v>
      </c>
    </row>
    <row r="179" spans="1:8" ht="15.75" x14ac:dyDescent="0.25">
      <c r="A179" s="8">
        <v>45985</v>
      </c>
      <c r="B179" s="6">
        <v>1</v>
      </c>
      <c r="C179" s="6" t="s">
        <v>284</v>
      </c>
      <c r="D179" s="6" t="str">
        <f>VLOOKUP(Table2[[#This Row],[contract_ID]],'Contract data'!B:F,5,FALSE)</f>
        <v>KH034</v>
      </c>
      <c r="E179" s="6">
        <v>-4000000</v>
      </c>
      <c r="F179" s="6"/>
      <c r="G179" s="6">
        <v>-4000000</v>
      </c>
      <c r="H179" s="6" t="s">
        <v>1860</v>
      </c>
    </row>
    <row r="180" spans="1:8" ht="15.75" x14ac:dyDescent="0.25">
      <c r="A180" s="8">
        <v>45988</v>
      </c>
      <c r="B180" s="6">
        <v>1</v>
      </c>
      <c r="C180" s="6" t="s">
        <v>394</v>
      </c>
      <c r="D180" s="6" t="str">
        <f>VLOOKUP(Table2[[#This Row],[contract_ID]],'Contract data'!B:F,5,FALSE)</f>
        <v>KH329</v>
      </c>
      <c r="E180" s="6"/>
      <c r="F180" s="6"/>
      <c r="G180" s="6">
        <v>0</v>
      </c>
      <c r="H180" s="6" t="s">
        <v>1859</v>
      </c>
    </row>
    <row r="181" spans="1:8" ht="15.75" x14ac:dyDescent="0.25">
      <c r="A181" s="8">
        <v>45988</v>
      </c>
      <c r="B181" s="6">
        <v>2</v>
      </c>
      <c r="C181" s="6" t="s">
        <v>272</v>
      </c>
      <c r="D181" s="6" t="str">
        <f>VLOOKUP(Table2[[#This Row],[contract_ID]],'Contract data'!B:F,5,FALSE)</f>
        <v>KH142</v>
      </c>
      <c r="E181" s="6">
        <v>-1600000</v>
      </c>
      <c r="F181" s="6"/>
      <c r="G181" s="6">
        <v>-1600000</v>
      </c>
      <c r="H181" s="6" t="s">
        <v>1860</v>
      </c>
    </row>
    <row r="182" spans="1:8" ht="15.75" x14ac:dyDescent="0.25">
      <c r="A182" s="8">
        <v>45989</v>
      </c>
      <c r="B182" s="6">
        <v>1</v>
      </c>
      <c r="C182" s="6" t="s">
        <v>448</v>
      </c>
      <c r="D182" s="6" t="str">
        <f>VLOOKUP(Table2[[#This Row],[contract_ID]],'Contract data'!B:F,5,FALSE)</f>
        <v>KH357</v>
      </c>
      <c r="E182" s="6">
        <v>26000000</v>
      </c>
      <c r="F182" s="6"/>
      <c r="G182" s="6">
        <v>26000000</v>
      </c>
      <c r="H182" s="6" t="s">
        <v>1858</v>
      </c>
    </row>
    <row r="183" spans="1:8" ht="15.75" x14ac:dyDescent="0.25">
      <c r="A183" s="8">
        <v>45989</v>
      </c>
      <c r="B183" s="6">
        <v>1</v>
      </c>
      <c r="C183" s="6" t="s">
        <v>380</v>
      </c>
      <c r="D183" s="6" t="str">
        <f>VLOOKUP(Table2[[#This Row],[contract_ID]],'Contract data'!B:F,5,FALSE)</f>
        <v>KH238</v>
      </c>
      <c r="E183" s="6"/>
      <c r="F183" s="6"/>
      <c r="G183" s="6">
        <v>0</v>
      </c>
      <c r="H183" s="6" t="s">
        <v>1859</v>
      </c>
    </row>
    <row r="184" spans="1:8" ht="15.75" x14ac:dyDescent="0.25">
      <c r="A184" s="8">
        <v>45987</v>
      </c>
      <c r="B184" s="6">
        <v>2</v>
      </c>
      <c r="C184" s="6" t="s">
        <v>334</v>
      </c>
      <c r="D184" s="6" t="str">
        <f>VLOOKUP(Table2[[#This Row],[contract_ID]],'Contract data'!B:F,5,FALSE)</f>
        <v>KH317</v>
      </c>
      <c r="E184" s="6">
        <v>10000000</v>
      </c>
      <c r="F184" s="6"/>
      <c r="G184" s="6">
        <v>10000000</v>
      </c>
      <c r="H184" s="6" t="s">
        <v>1858</v>
      </c>
    </row>
    <row r="185" spans="1:8" ht="15.75" x14ac:dyDescent="0.25">
      <c r="A185" s="8">
        <v>45992</v>
      </c>
      <c r="B185" s="6">
        <v>1</v>
      </c>
      <c r="C185" s="6" t="s">
        <v>270</v>
      </c>
      <c r="D185" s="6" t="str">
        <f>VLOOKUP(Table2[[#This Row],[contract_ID]],'Contract data'!B:F,5,FALSE)</f>
        <v>KH006</v>
      </c>
      <c r="E185" s="6">
        <v>67000000</v>
      </c>
      <c r="F185" s="6"/>
      <c r="G185" s="6">
        <v>67000000</v>
      </c>
      <c r="H185" s="6" t="s">
        <v>1858</v>
      </c>
    </row>
    <row r="186" spans="1:8" ht="15.75" x14ac:dyDescent="0.25">
      <c r="A186" s="8">
        <v>45996</v>
      </c>
      <c r="B186" s="6">
        <v>2</v>
      </c>
      <c r="C186" s="6" t="s">
        <v>257</v>
      </c>
      <c r="D186" s="6" t="str">
        <f>VLOOKUP(Table2[[#This Row],[contract_ID]],'Contract data'!B:F,5,FALSE)</f>
        <v>KH335</v>
      </c>
      <c r="E186" s="6">
        <v>3500000</v>
      </c>
      <c r="F186" s="6"/>
      <c r="G186" s="6">
        <v>3500000</v>
      </c>
      <c r="H186" s="6" t="s">
        <v>1858</v>
      </c>
    </row>
    <row r="187" spans="1:8" ht="15.75" x14ac:dyDescent="0.25">
      <c r="A187" s="8">
        <v>45987</v>
      </c>
      <c r="B187" s="6">
        <v>1</v>
      </c>
      <c r="C187" s="6" t="s">
        <v>882</v>
      </c>
      <c r="D187" s="6" t="str">
        <f>VLOOKUP(Table2[[#This Row],[contract_ID]],'Contract data'!B:F,5,FALSE)</f>
        <v>KH032</v>
      </c>
      <c r="E187" s="6">
        <v>-17000000</v>
      </c>
      <c r="F187" s="6"/>
      <c r="G187" s="6">
        <v>-17000000</v>
      </c>
      <c r="H187" s="6" t="s">
        <v>1860</v>
      </c>
    </row>
    <row r="188" spans="1:8" ht="15.75" x14ac:dyDescent="0.25">
      <c r="A188" s="8">
        <v>46001</v>
      </c>
      <c r="B188" s="6">
        <v>2</v>
      </c>
      <c r="C188" s="6" t="s">
        <v>349</v>
      </c>
      <c r="D188" s="6" t="str">
        <f>VLOOKUP(Table2[[#This Row],[contract_ID]],'Contract data'!B:F,5,FALSE)</f>
        <v>KH326</v>
      </c>
      <c r="E188" s="6">
        <v>25000000</v>
      </c>
      <c r="F188" s="6"/>
      <c r="G188" s="6">
        <v>25000000</v>
      </c>
      <c r="H188" s="6" t="s">
        <v>1858</v>
      </c>
    </row>
    <row r="189" spans="1:8" ht="15.75" x14ac:dyDescent="0.25">
      <c r="A189" s="8">
        <v>46000</v>
      </c>
      <c r="B189" s="6">
        <v>2</v>
      </c>
      <c r="C189" s="6" t="s">
        <v>366</v>
      </c>
      <c r="D189" s="6" t="str">
        <f>VLOOKUP(Table2[[#This Row],[contract_ID]],'Contract data'!B:F,5,FALSE)</f>
        <v>KH315</v>
      </c>
      <c r="E189" s="6">
        <v>3000000</v>
      </c>
      <c r="F189" s="6"/>
      <c r="G189" s="6">
        <v>3000000</v>
      </c>
      <c r="H189" s="6" t="s">
        <v>1858</v>
      </c>
    </row>
    <row r="190" spans="1:8" ht="15.75" x14ac:dyDescent="0.25">
      <c r="A190" s="8">
        <v>45999</v>
      </c>
      <c r="B190" s="6">
        <v>2</v>
      </c>
      <c r="C190" s="6" t="s">
        <v>353</v>
      </c>
      <c r="D190" s="6" t="str">
        <f>VLOOKUP(Table2[[#This Row],[contract_ID]],'Contract data'!B:F,5,FALSE)</f>
        <v>KH318</v>
      </c>
      <c r="E190" s="6"/>
      <c r="F190" s="6"/>
      <c r="G190" s="6">
        <v>0</v>
      </c>
      <c r="H190" s="6" t="s">
        <v>1859</v>
      </c>
    </row>
    <row r="191" spans="1:8" ht="15.75" x14ac:dyDescent="0.25">
      <c r="A191" s="8">
        <v>45999</v>
      </c>
      <c r="B191" s="6">
        <v>2</v>
      </c>
      <c r="C191" s="6" t="s">
        <v>450</v>
      </c>
      <c r="D191" s="6" t="str">
        <f>VLOOKUP(Table2[[#This Row],[contract_ID]],'Contract data'!B:F,5,FALSE)</f>
        <v>KH066</v>
      </c>
      <c r="E191" s="6"/>
      <c r="F191" s="6"/>
      <c r="G191" s="6">
        <v>0</v>
      </c>
      <c r="H191" s="6" t="s">
        <v>1859</v>
      </c>
    </row>
    <row r="192" spans="1:8" ht="15.75" x14ac:dyDescent="0.25">
      <c r="A192" s="8">
        <v>46008</v>
      </c>
      <c r="B192" s="6">
        <v>3</v>
      </c>
      <c r="C192" s="6" t="s">
        <v>302</v>
      </c>
      <c r="D192" s="6" t="str">
        <f>VLOOKUP(Table2[[#This Row],[contract_ID]],'Contract data'!B:F,5,FALSE)</f>
        <v>KH079</v>
      </c>
      <c r="E192" s="6">
        <v>3300000</v>
      </c>
      <c r="F192" s="6"/>
      <c r="G192" s="6">
        <v>3300000</v>
      </c>
      <c r="H192" s="6" t="s">
        <v>1858</v>
      </c>
    </row>
    <row r="193" spans="1:8" ht="15.75" x14ac:dyDescent="0.25">
      <c r="A193" s="8">
        <v>46002</v>
      </c>
      <c r="B193" s="6">
        <v>1</v>
      </c>
      <c r="C193" s="6" t="s">
        <v>455</v>
      </c>
      <c r="D193" s="6" t="str">
        <f>VLOOKUP(Table2[[#This Row],[contract_ID]],'Contract data'!B:F,5,FALSE)</f>
        <v>KH162</v>
      </c>
      <c r="E193" s="6">
        <v>1000000</v>
      </c>
      <c r="F193" s="6"/>
      <c r="G193" s="6">
        <v>1000000</v>
      </c>
      <c r="H193" s="6" t="s">
        <v>1858</v>
      </c>
    </row>
    <row r="194" spans="1:8" ht="15.75" x14ac:dyDescent="0.25">
      <c r="A194" s="8">
        <v>46002</v>
      </c>
      <c r="B194" s="6">
        <v>3</v>
      </c>
      <c r="C194" s="6" t="s">
        <v>435</v>
      </c>
      <c r="D194" s="6" t="str">
        <f>VLOOKUP(Table2[[#This Row],[contract_ID]],'Contract data'!B:F,5,FALSE)</f>
        <v>KH178</v>
      </c>
      <c r="E194" s="6"/>
      <c r="F194" s="6"/>
      <c r="G194" s="6">
        <v>0</v>
      </c>
      <c r="H194" s="6" t="s">
        <v>1859</v>
      </c>
    </row>
    <row r="195" spans="1:8" ht="15.75" x14ac:dyDescent="0.25">
      <c r="A195" s="8">
        <v>46002</v>
      </c>
      <c r="B195" s="6">
        <v>2</v>
      </c>
      <c r="C195" s="6" t="s">
        <v>412</v>
      </c>
      <c r="D195" s="6" t="str">
        <f>VLOOKUP(Table2[[#This Row],[contract_ID]],'Contract data'!B:F,5,FALSE)</f>
        <v>KH355</v>
      </c>
      <c r="E195" s="6">
        <v>-2000000</v>
      </c>
      <c r="F195" s="6"/>
      <c r="G195" s="6">
        <v>-2000000</v>
      </c>
      <c r="H195" s="6" t="s">
        <v>1860</v>
      </c>
    </row>
    <row r="196" spans="1:8" ht="15.75" x14ac:dyDescent="0.25">
      <c r="A196" s="8">
        <v>46008</v>
      </c>
      <c r="B196" s="6">
        <v>2</v>
      </c>
      <c r="C196" s="6" t="s">
        <v>360</v>
      </c>
      <c r="D196" s="6" t="str">
        <f>VLOOKUP(Table2[[#This Row],[contract_ID]],'Contract data'!B:F,5,FALSE)</f>
        <v>KH113</v>
      </c>
      <c r="E196" s="6">
        <v>1000000</v>
      </c>
      <c r="F196" s="6"/>
      <c r="G196" s="6">
        <v>1000000</v>
      </c>
      <c r="H196" s="6" t="s">
        <v>1858</v>
      </c>
    </row>
    <row r="197" spans="1:8" ht="15.75" x14ac:dyDescent="0.25">
      <c r="A197" s="8">
        <v>46012</v>
      </c>
      <c r="B197" s="6">
        <v>1</v>
      </c>
      <c r="C197" s="6" t="s">
        <v>451</v>
      </c>
      <c r="D197" s="6" t="str">
        <f>VLOOKUP(Table2[[#This Row],[contract_ID]],'Contract data'!B:F,5,FALSE)</f>
        <v>KH090</v>
      </c>
      <c r="E197" s="6"/>
      <c r="F197" s="6"/>
      <c r="G197" s="6">
        <v>0</v>
      </c>
      <c r="H197" s="6" t="s">
        <v>1859</v>
      </c>
    </row>
    <row r="198" spans="1:8" ht="15.75" x14ac:dyDescent="0.25">
      <c r="A198" s="8">
        <v>46010</v>
      </c>
      <c r="B198" s="6">
        <v>1</v>
      </c>
      <c r="C198" s="6" t="s">
        <v>454</v>
      </c>
      <c r="D198" s="6" t="str">
        <f>VLOOKUP(Table2[[#This Row],[contract_ID]],'Contract data'!B:F,5,FALSE)</f>
        <v>KH163</v>
      </c>
      <c r="E198" s="6"/>
      <c r="F198" s="6"/>
      <c r="G198" s="6">
        <v>0</v>
      </c>
      <c r="H198" s="6" t="s">
        <v>1859</v>
      </c>
    </row>
    <row r="199" spans="1:8" ht="15.75" x14ac:dyDescent="0.25">
      <c r="A199" s="8">
        <v>46011</v>
      </c>
      <c r="B199" s="6">
        <v>2</v>
      </c>
      <c r="C199" s="6" t="s">
        <v>882</v>
      </c>
      <c r="D199" s="6" t="str">
        <f>VLOOKUP(Table2[[#This Row],[contract_ID]],'Contract data'!B:F,5,FALSE)</f>
        <v>KH032</v>
      </c>
      <c r="E199" s="6"/>
      <c r="F199" s="6"/>
      <c r="G199" s="6">
        <v>0</v>
      </c>
      <c r="H199" s="6" t="s">
        <v>1859</v>
      </c>
    </row>
    <row r="200" spans="1:8" ht="15.75" x14ac:dyDescent="0.25">
      <c r="A200" s="8">
        <v>46011</v>
      </c>
      <c r="B200" s="6">
        <v>1</v>
      </c>
      <c r="C200" s="6" t="s">
        <v>193</v>
      </c>
      <c r="D200" s="6" t="str">
        <f>VLOOKUP(Table2[[#This Row],[contract_ID]],'Contract data'!B:F,5,FALSE)</f>
        <v>KH285</v>
      </c>
      <c r="E200" s="6">
        <v>-2150000</v>
      </c>
      <c r="F200" s="6"/>
      <c r="G200" s="6">
        <v>-2150000</v>
      </c>
      <c r="H200" s="6" t="s">
        <v>1860</v>
      </c>
    </row>
    <row r="201" spans="1:8" ht="15.75" x14ac:dyDescent="0.25">
      <c r="A201" s="8">
        <v>46011</v>
      </c>
      <c r="B201" s="6">
        <v>1</v>
      </c>
      <c r="C201" s="6" t="s">
        <v>293</v>
      </c>
      <c r="D201" s="6" t="str">
        <f>VLOOKUP(Table2[[#This Row],[contract_ID]],'Contract data'!B:F,5,FALSE)</f>
        <v>KH061</v>
      </c>
      <c r="E201" s="6">
        <v>1000000</v>
      </c>
      <c r="F201" s="6"/>
      <c r="G201" s="6">
        <v>1000000</v>
      </c>
      <c r="H201" s="6" t="s">
        <v>1858</v>
      </c>
    </row>
    <row r="202" spans="1:8" ht="15.75" x14ac:dyDescent="0.25">
      <c r="A202" s="8">
        <v>46015</v>
      </c>
      <c r="B202" s="6">
        <v>1</v>
      </c>
      <c r="C202" s="6" t="s">
        <v>390</v>
      </c>
      <c r="D202" s="6" t="str">
        <f>VLOOKUP(Table2[[#This Row],[contract_ID]],'Contract data'!B:F,5,FALSE)</f>
        <v>KH124</v>
      </c>
      <c r="E202" s="6"/>
      <c r="F202" s="6"/>
      <c r="G202" s="6">
        <v>0</v>
      </c>
      <c r="H202" s="6" t="s">
        <v>1859</v>
      </c>
    </row>
    <row r="203" spans="1:8" ht="15.75" x14ac:dyDescent="0.25">
      <c r="A203" s="8">
        <v>46017</v>
      </c>
      <c r="B203" s="6">
        <v>4</v>
      </c>
      <c r="C203" s="6" t="s">
        <v>235</v>
      </c>
      <c r="D203" s="6" t="str">
        <f>VLOOKUP(Table2[[#This Row],[contract_ID]],'Contract data'!B:F,5,FALSE)</f>
        <v>KH107</v>
      </c>
      <c r="E203" s="6">
        <v>1824000</v>
      </c>
      <c r="F203" s="6"/>
      <c r="G203" s="6">
        <v>1824000</v>
      </c>
      <c r="H203" s="6" t="s">
        <v>1858</v>
      </c>
    </row>
    <row r="204" spans="1:8" ht="15.75" x14ac:dyDescent="0.25">
      <c r="A204" s="8">
        <v>46017</v>
      </c>
      <c r="B204" s="6">
        <v>1</v>
      </c>
      <c r="C204" s="6" t="s">
        <v>438</v>
      </c>
      <c r="D204" s="6" t="str">
        <f>VLOOKUP(Table2[[#This Row],[contract_ID]],'Contract data'!B:F,5,FALSE)</f>
        <v>KH248</v>
      </c>
      <c r="E204" s="6"/>
      <c r="F204" s="6"/>
      <c r="G204" s="6">
        <v>0</v>
      </c>
      <c r="H204" s="6" t="s">
        <v>1859</v>
      </c>
    </row>
    <row r="205" spans="1:8" ht="15.75" x14ac:dyDescent="0.25">
      <c r="A205" s="8">
        <v>46017</v>
      </c>
      <c r="B205" s="6">
        <v>1</v>
      </c>
      <c r="C205" s="6" t="s">
        <v>421</v>
      </c>
      <c r="D205" s="6" t="str">
        <f>VLOOKUP(Table2[[#This Row],[contract_ID]],'Contract data'!B:F,5,FALSE)</f>
        <v>KH088</v>
      </c>
      <c r="E205" s="6"/>
      <c r="F205" s="6"/>
      <c r="G205" s="6">
        <v>0</v>
      </c>
      <c r="H205" s="6" t="s">
        <v>1859</v>
      </c>
    </row>
    <row r="206" spans="1:8" ht="15.75" x14ac:dyDescent="0.25">
      <c r="A206" s="8">
        <v>46018</v>
      </c>
      <c r="B206" s="6">
        <v>2</v>
      </c>
      <c r="C206" s="6" t="s">
        <v>448</v>
      </c>
      <c r="D206" s="6" t="str">
        <f>VLOOKUP(Table2[[#This Row],[contract_ID]],'Contract data'!B:F,5,FALSE)</f>
        <v>KH357</v>
      </c>
      <c r="E206" s="6">
        <v>66000000</v>
      </c>
      <c r="F206" s="6"/>
      <c r="G206" s="6">
        <v>66000000</v>
      </c>
      <c r="H206" s="6" t="s">
        <v>1858</v>
      </c>
    </row>
    <row r="207" spans="1:8" ht="15.75" x14ac:dyDescent="0.25">
      <c r="A207" s="8">
        <v>46017</v>
      </c>
      <c r="B207" s="6">
        <v>3</v>
      </c>
      <c r="C207" s="6" t="s">
        <v>882</v>
      </c>
      <c r="D207" s="6" t="str">
        <f>VLOOKUP(Table2[[#This Row],[contract_ID]],'Contract data'!B:F,5,FALSE)</f>
        <v>KH032</v>
      </c>
      <c r="E207" s="6">
        <v>3000000</v>
      </c>
      <c r="F207" s="6"/>
      <c r="G207" s="6">
        <v>3000000</v>
      </c>
      <c r="H207" s="6" t="s">
        <v>1858</v>
      </c>
    </row>
    <row r="208" spans="1:8" ht="15.75" x14ac:dyDescent="0.25">
      <c r="A208" s="8">
        <v>46021</v>
      </c>
      <c r="B208" s="6">
        <v>1</v>
      </c>
      <c r="C208" s="6" t="s">
        <v>296</v>
      </c>
      <c r="D208" s="6" t="str">
        <f>VLOOKUP(Table2[[#This Row],[contract_ID]],'Contract data'!B:F,5,FALSE)</f>
        <v>KH144</v>
      </c>
      <c r="E208" s="6"/>
      <c r="F208" s="6"/>
      <c r="G208" s="6">
        <v>0</v>
      </c>
      <c r="H208" s="6" t="s">
        <v>1859</v>
      </c>
    </row>
    <row r="209" spans="1:8" ht="15.75" x14ac:dyDescent="0.25">
      <c r="A209" s="8">
        <v>46022</v>
      </c>
      <c r="B209" s="6">
        <v>2</v>
      </c>
      <c r="C209" s="6" t="s">
        <v>394</v>
      </c>
      <c r="D209" s="6" t="str">
        <f>VLOOKUP(Table2[[#This Row],[contract_ID]],'Contract data'!B:F,5,FALSE)</f>
        <v>KH329</v>
      </c>
      <c r="E209" s="6">
        <v>15400000</v>
      </c>
      <c r="F209" s="6"/>
      <c r="G209" s="6">
        <v>15400000</v>
      </c>
      <c r="H209" s="6" t="s">
        <v>1858</v>
      </c>
    </row>
    <row r="210" spans="1:8" ht="15.75" x14ac:dyDescent="0.25">
      <c r="A210" s="8">
        <v>46025</v>
      </c>
      <c r="B210" s="6">
        <v>1</v>
      </c>
      <c r="C210" s="6" t="s">
        <v>470</v>
      </c>
      <c r="D210" s="6" t="str">
        <f>VLOOKUP(Table2[[#This Row],[contract_ID]],'Contract data'!B:F,5,FALSE)</f>
        <v>KH361</v>
      </c>
      <c r="E210" s="6">
        <v>10000000</v>
      </c>
      <c r="F210" s="6"/>
      <c r="G210" s="6">
        <v>10000000</v>
      </c>
      <c r="H210" s="6" t="s">
        <v>1858</v>
      </c>
    </row>
    <row r="211" spans="1:8" ht="15.75" x14ac:dyDescent="0.25">
      <c r="A211" s="8">
        <v>46022</v>
      </c>
      <c r="B211" s="6">
        <v>2</v>
      </c>
      <c r="C211" s="6" t="s">
        <v>328</v>
      </c>
      <c r="D211" s="6" t="str">
        <f>VLOOKUP(Table2[[#This Row],[contract_ID]],'Contract data'!B:F,5,FALSE)</f>
        <v>KH081</v>
      </c>
      <c r="E211" s="6">
        <v>3000000</v>
      </c>
      <c r="F211" s="6"/>
      <c r="G211" s="6">
        <v>3000000</v>
      </c>
      <c r="H211" s="6" t="s">
        <v>1858</v>
      </c>
    </row>
    <row r="212" spans="1:8" ht="15.75" x14ac:dyDescent="0.25">
      <c r="A212" s="8">
        <v>46028</v>
      </c>
      <c r="B212" s="6">
        <v>1</v>
      </c>
      <c r="C212" s="6" t="s">
        <v>466</v>
      </c>
      <c r="D212" s="6" t="str">
        <f>VLOOKUP(Table2[[#This Row],[contract_ID]],'Contract data'!B:F,5,FALSE)</f>
        <v>KH357</v>
      </c>
      <c r="E212" s="6"/>
      <c r="F212" s="6"/>
      <c r="G212" s="6">
        <v>0</v>
      </c>
      <c r="H212" s="6" t="s">
        <v>1859</v>
      </c>
    </row>
    <row r="213" spans="1:8" ht="15.75" x14ac:dyDescent="0.25">
      <c r="A213" s="8">
        <v>46021</v>
      </c>
      <c r="B213" s="6">
        <v>1</v>
      </c>
      <c r="C213" s="6" t="s">
        <v>379</v>
      </c>
      <c r="D213" s="6" t="str">
        <f>VLOOKUP(Table2[[#This Row],[contract_ID]],'Contract data'!B:F,5,FALSE)</f>
        <v>KH336</v>
      </c>
      <c r="E213" s="6">
        <v>-2000000</v>
      </c>
      <c r="F213" s="6"/>
      <c r="G213" s="6">
        <v>-2000000</v>
      </c>
      <c r="H213" s="6" t="s">
        <v>1860</v>
      </c>
    </row>
    <row r="214" spans="1:8" ht="15.75" x14ac:dyDescent="0.25">
      <c r="A214" s="8">
        <v>46030</v>
      </c>
      <c r="B214" s="6">
        <v>1</v>
      </c>
      <c r="C214" s="6" t="s">
        <v>429</v>
      </c>
      <c r="D214" s="6" t="str">
        <f>VLOOKUP(Table2[[#This Row],[contract_ID]],'Contract data'!B:F,5,FALSE)</f>
        <v>KH177</v>
      </c>
      <c r="E214" s="6">
        <v>8000000</v>
      </c>
      <c r="F214" s="6"/>
      <c r="G214" s="6">
        <v>8000000</v>
      </c>
      <c r="H214" s="6" t="s">
        <v>1858</v>
      </c>
    </row>
    <row r="215" spans="1:8" ht="15.75" x14ac:dyDescent="0.25">
      <c r="A215" s="8">
        <v>46032</v>
      </c>
      <c r="B215" s="6">
        <v>3</v>
      </c>
      <c r="C215" s="6" t="s">
        <v>354</v>
      </c>
      <c r="D215" s="6" t="str">
        <f>VLOOKUP(Table2[[#This Row],[contract_ID]],'Contract data'!B:F,5,FALSE)</f>
        <v>KH108</v>
      </c>
      <c r="E215" s="6">
        <v>1000000</v>
      </c>
      <c r="F215" s="6"/>
      <c r="G215" s="6">
        <v>1000000</v>
      </c>
      <c r="H215" s="6" t="s">
        <v>1858</v>
      </c>
    </row>
    <row r="216" spans="1:8" ht="15.75" x14ac:dyDescent="0.25">
      <c r="A216" s="8">
        <v>45864</v>
      </c>
      <c r="B216" s="6">
        <v>1</v>
      </c>
      <c r="C216" s="6" t="s">
        <v>364</v>
      </c>
      <c r="D216" s="6" t="str">
        <f>VLOOKUP(Table2[[#This Row],[contract_ID]],'Contract data'!B:F,5,FALSE)</f>
        <v>KH270</v>
      </c>
      <c r="E216" s="6">
        <v>1000000</v>
      </c>
      <c r="F216" s="6"/>
      <c r="G216" s="6">
        <v>1000000</v>
      </c>
      <c r="H216" s="6" t="s">
        <v>1858</v>
      </c>
    </row>
    <row r="217" spans="1:8" ht="15.75" x14ac:dyDescent="0.25">
      <c r="A217" s="8">
        <v>46037</v>
      </c>
      <c r="B217" s="6">
        <v>1</v>
      </c>
      <c r="C217" s="6" t="s">
        <v>446</v>
      </c>
      <c r="D217" s="6" t="str">
        <f>VLOOKUP(Table2[[#This Row],[contract_ID]],'Contract data'!B:F,5,FALSE)</f>
        <v>KH330</v>
      </c>
      <c r="E217" s="6">
        <v>3000000</v>
      </c>
      <c r="F217" s="6"/>
      <c r="G217" s="6">
        <v>3000000</v>
      </c>
      <c r="H217" s="6" t="s">
        <v>1858</v>
      </c>
    </row>
    <row r="218" spans="1:8" ht="15.75" x14ac:dyDescent="0.25">
      <c r="A218" s="8">
        <v>46038</v>
      </c>
      <c r="B218" s="6">
        <v>1</v>
      </c>
      <c r="C218" s="6" t="s">
        <v>368</v>
      </c>
      <c r="D218" s="6" t="str">
        <f>VLOOKUP(Table2[[#This Row],[contract_ID]],'Contract data'!B:F,5,FALSE)</f>
        <v>KH111</v>
      </c>
      <c r="E218" s="6">
        <v>5000000</v>
      </c>
      <c r="F218" s="6"/>
      <c r="G218" s="6">
        <v>5000000</v>
      </c>
      <c r="H218" s="6" t="s">
        <v>1858</v>
      </c>
    </row>
    <row r="219" spans="1:8" ht="15.75" x14ac:dyDescent="0.25">
      <c r="A219" s="8">
        <v>46038</v>
      </c>
      <c r="B219" s="6">
        <v>2</v>
      </c>
      <c r="C219" s="6" t="s">
        <v>455</v>
      </c>
      <c r="D219" s="6" t="str">
        <f>VLOOKUP(Table2[[#This Row],[contract_ID]],'Contract data'!B:F,5,FALSE)</f>
        <v>KH162</v>
      </c>
      <c r="E219" s="6">
        <v>12000000</v>
      </c>
      <c r="F219" s="6"/>
      <c r="G219" s="6">
        <v>12000000</v>
      </c>
      <c r="H219" s="6" t="s">
        <v>1858</v>
      </c>
    </row>
    <row r="220" spans="1:8" ht="15.75" x14ac:dyDescent="0.25">
      <c r="A220" s="8">
        <v>46039</v>
      </c>
      <c r="B220" s="6">
        <v>2</v>
      </c>
      <c r="C220" s="6" t="s">
        <v>429</v>
      </c>
      <c r="D220" s="6" t="str">
        <f>VLOOKUP(Table2[[#This Row],[contract_ID]],'Contract data'!B:F,5,FALSE)</f>
        <v>KH177</v>
      </c>
      <c r="E220" s="6">
        <v>4000000</v>
      </c>
      <c r="F220" s="6"/>
      <c r="G220" s="6">
        <v>4000000</v>
      </c>
      <c r="H220" s="6" t="s">
        <v>1858</v>
      </c>
    </row>
    <row r="221" spans="1:8" ht="15.75" x14ac:dyDescent="0.25">
      <c r="A221" s="8">
        <v>46042</v>
      </c>
      <c r="B221" s="6">
        <v>2</v>
      </c>
      <c r="C221" s="6" t="s">
        <v>344</v>
      </c>
      <c r="D221" s="6" t="str">
        <f>VLOOKUP(Table2[[#This Row],[contract_ID]],'Contract data'!B:F,5,FALSE)</f>
        <v>KH101</v>
      </c>
      <c r="E221" s="6"/>
      <c r="F221" s="6"/>
      <c r="G221" s="6">
        <v>0</v>
      </c>
      <c r="H221" s="6" t="s">
        <v>1859</v>
      </c>
    </row>
    <row r="222" spans="1:8" ht="15.75" x14ac:dyDescent="0.25">
      <c r="A222" s="8">
        <v>46042</v>
      </c>
      <c r="B222" s="6">
        <v>1</v>
      </c>
      <c r="C222" s="6" t="s">
        <v>249</v>
      </c>
      <c r="D222" s="6" t="str">
        <f>VLOOKUP(Table2[[#This Row],[contract_ID]],'Contract data'!B:F,5,FALSE)</f>
        <v>KH228</v>
      </c>
      <c r="E222" s="6"/>
      <c r="F222" s="6"/>
      <c r="G222" s="6">
        <v>0</v>
      </c>
      <c r="H222" s="6" t="s">
        <v>1859</v>
      </c>
    </row>
    <row r="223" spans="1:8" ht="15.75" x14ac:dyDescent="0.25">
      <c r="A223" s="8">
        <v>46043</v>
      </c>
      <c r="B223" s="6">
        <v>1</v>
      </c>
      <c r="C223" s="6" t="s">
        <v>430</v>
      </c>
      <c r="D223" s="6" t="str">
        <f>VLOOKUP(Table2[[#This Row],[contract_ID]],'Contract data'!B:F,5,FALSE)</f>
        <v>KH158</v>
      </c>
      <c r="E223" s="6"/>
      <c r="F223" s="6"/>
      <c r="G223" s="6">
        <v>0</v>
      </c>
      <c r="H223" s="6" t="s">
        <v>1859</v>
      </c>
    </row>
    <row r="224" spans="1:8" ht="15.75" x14ac:dyDescent="0.25">
      <c r="A224" s="8">
        <v>46039</v>
      </c>
      <c r="B224" s="6">
        <v>1</v>
      </c>
      <c r="C224" s="6" t="s">
        <v>462</v>
      </c>
      <c r="D224" s="6" t="str">
        <f>VLOOKUP(Table2[[#This Row],[contract_ID]],'Contract data'!B:F,5,FALSE)</f>
        <v>KH179</v>
      </c>
      <c r="E224" s="6"/>
      <c r="F224" s="6"/>
      <c r="G224" s="6">
        <v>0</v>
      </c>
      <c r="H224" s="6" t="s">
        <v>1859</v>
      </c>
    </row>
    <row r="225" spans="1:8" ht="15.75" x14ac:dyDescent="0.25">
      <c r="A225" s="8">
        <v>46049</v>
      </c>
      <c r="B225" s="6">
        <v>2</v>
      </c>
      <c r="C225" s="6" t="s">
        <v>454</v>
      </c>
      <c r="D225" s="6" t="str">
        <f>VLOOKUP(Table2[[#This Row],[contract_ID]],'Contract data'!B:F,5,FALSE)</f>
        <v>KH163</v>
      </c>
      <c r="E225" s="6">
        <v>-2000000</v>
      </c>
      <c r="F225" s="6"/>
      <c r="G225" s="6">
        <v>-2000000</v>
      </c>
      <c r="H225" s="6" t="s">
        <v>1860</v>
      </c>
    </row>
    <row r="226" spans="1:8" ht="15.75" x14ac:dyDescent="0.25">
      <c r="A226" s="8">
        <v>46053</v>
      </c>
      <c r="B226" s="6">
        <v>1</v>
      </c>
      <c r="C226" s="6" t="s">
        <v>420</v>
      </c>
      <c r="D226" s="6" t="str">
        <f>VLOOKUP(Table2[[#This Row],[contract_ID]],'Contract data'!B:F,5,FALSE)</f>
        <v>KH258</v>
      </c>
      <c r="E226" s="6"/>
      <c r="F226" s="6"/>
      <c r="G226" s="6">
        <v>0</v>
      </c>
      <c r="H226" s="6" t="s">
        <v>1859</v>
      </c>
    </row>
    <row r="227" spans="1:8" ht="15.75" x14ac:dyDescent="0.25">
      <c r="A227" s="8">
        <v>46055</v>
      </c>
      <c r="B227" s="6">
        <v>2</v>
      </c>
      <c r="C227" s="6" t="s">
        <v>451</v>
      </c>
      <c r="D227" s="6" t="str">
        <f>VLOOKUP(Table2[[#This Row],[contract_ID]],'Contract data'!B:F,5,FALSE)</f>
        <v>KH090</v>
      </c>
      <c r="E227" s="6">
        <v>-1700000</v>
      </c>
      <c r="F227" s="6"/>
      <c r="G227" s="6">
        <v>-1700000</v>
      </c>
      <c r="H227" s="6" t="s">
        <v>1860</v>
      </c>
    </row>
    <row r="228" spans="1:8" ht="15.75" x14ac:dyDescent="0.25">
      <c r="A228" s="8">
        <v>46055</v>
      </c>
      <c r="B228" s="6">
        <v>2</v>
      </c>
      <c r="C228" s="6" t="s">
        <v>430</v>
      </c>
      <c r="D228" s="6" t="str">
        <f>VLOOKUP(Table2[[#This Row],[contract_ID]],'Contract data'!B:F,5,FALSE)</f>
        <v>KH158</v>
      </c>
      <c r="E228" s="6">
        <v>7000000</v>
      </c>
      <c r="F228" s="6"/>
      <c r="G228" s="6">
        <v>7000000</v>
      </c>
      <c r="H228" s="6" t="s">
        <v>1858</v>
      </c>
    </row>
    <row r="229" spans="1:8" ht="15.75" x14ac:dyDescent="0.25">
      <c r="A229" s="8">
        <v>46055</v>
      </c>
      <c r="B229" s="6">
        <v>1</v>
      </c>
      <c r="C229" s="6" t="s">
        <v>331</v>
      </c>
      <c r="D229" s="6" t="str">
        <f>VLOOKUP(Table2[[#This Row],[contract_ID]],'Contract data'!B:F,5,FALSE)</f>
        <v>KH385</v>
      </c>
      <c r="E229" s="6">
        <v>40000000</v>
      </c>
      <c r="F229" s="6"/>
      <c r="G229" s="6">
        <v>40000000</v>
      </c>
      <c r="H229" s="6" t="s">
        <v>1858</v>
      </c>
    </row>
    <row r="230" spans="1:8" ht="15.75" x14ac:dyDescent="0.25">
      <c r="A230" s="8">
        <v>46059</v>
      </c>
      <c r="B230" s="6">
        <v>1</v>
      </c>
      <c r="C230" s="6" t="s">
        <v>389</v>
      </c>
      <c r="D230" s="6" t="str">
        <f>VLOOKUP(Table2[[#This Row],[contract_ID]],'Contract data'!B:F,5,FALSE)</f>
        <v>KH127</v>
      </c>
      <c r="E230" s="6">
        <v>-2500000</v>
      </c>
      <c r="F230" s="6"/>
      <c r="G230" s="6">
        <v>-2500000</v>
      </c>
      <c r="H230" s="6" t="s">
        <v>1860</v>
      </c>
    </row>
    <row r="231" spans="1:8" ht="15.75" x14ac:dyDescent="0.25">
      <c r="A231" s="8">
        <v>46062</v>
      </c>
      <c r="B231" s="6">
        <v>1</v>
      </c>
      <c r="C231" s="6" t="s">
        <v>307</v>
      </c>
      <c r="D231" s="6" t="str">
        <f>VLOOKUP(Table2[[#This Row],[contract_ID]],'Contract data'!B:F,5,FALSE)</f>
        <v>KH021</v>
      </c>
      <c r="E231" s="6">
        <v>-3500000</v>
      </c>
      <c r="F231" s="6"/>
      <c r="G231" s="6">
        <v>-3500000</v>
      </c>
      <c r="H231" s="6" t="s">
        <v>1860</v>
      </c>
    </row>
    <row r="232" spans="1:8" ht="15.75" x14ac:dyDescent="0.25">
      <c r="A232" s="8">
        <v>46079</v>
      </c>
      <c r="B232" s="6">
        <v>1</v>
      </c>
      <c r="C232" s="6" t="s">
        <v>398</v>
      </c>
      <c r="D232" s="6" t="str">
        <f>VLOOKUP(Table2[[#This Row],[contract_ID]],'Contract data'!B:F,5,FALSE)</f>
        <v>KH394</v>
      </c>
      <c r="E232" s="6">
        <v>-10000000</v>
      </c>
      <c r="F232" s="6"/>
      <c r="G232" s="6">
        <v>-10000000</v>
      </c>
      <c r="H232" s="6" t="s">
        <v>1860</v>
      </c>
    </row>
    <row r="233" spans="1:8" ht="15.75" x14ac:dyDescent="0.25">
      <c r="A233" s="8">
        <v>46084</v>
      </c>
      <c r="B233" s="6">
        <v>1</v>
      </c>
      <c r="C233" s="6" t="s">
        <v>447</v>
      </c>
      <c r="D233" s="6" t="str">
        <f>VLOOKUP(Table2[[#This Row],[contract_ID]],'Contract data'!B:F,5,FALSE)</f>
        <v>KH187</v>
      </c>
      <c r="E233" s="6">
        <v>20500000</v>
      </c>
      <c r="F233" s="6"/>
      <c r="G233" s="6">
        <v>20500000</v>
      </c>
      <c r="H233" s="6" t="s">
        <v>1858</v>
      </c>
    </row>
    <row r="234" spans="1:8" ht="15.75" x14ac:dyDescent="0.25">
      <c r="A234" s="8">
        <v>46091</v>
      </c>
      <c r="B234" s="6">
        <v>1</v>
      </c>
      <c r="C234" s="6" t="s">
        <v>335</v>
      </c>
      <c r="D234" s="6" t="str">
        <f>VLOOKUP(Table2[[#This Row],[contract_ID]],'Contract data'!B:F,5,FALSE)</f>
        <v>KH170</v>
      </c>
      <c r="E234" s="6">
        <v>4785000</v>
      </c>
      <c r="F234" s="6"/>
      <c r="G234" s="6">
        <v>4785000</v>
      </c>
      <c r="H234" s="6" t="s">
        <v>1858</v>
      </c>
    </row>
    <row r="235" spans="1:8" ht="15.75" x14ac:dyDescent="0.25">
      <c r="A235" s="8">
        <v>46091</v>
      </c>
      <c r="B235" s="6">
        <v>1</v>
      </c>
      <c r="C235" s="6" t="s">
        <v>452</v>
      </c>
      <c r="D235" s="6" t="str">
        <f>VLOOKUP(Table2[[#This Row],[contract_ID]],'Contract data'!B:F,5,FALSE)</f>
        <v>KH160</v>
      </c>
      <c r="E235" s="6">
        <v>2500000</v>
      </c>
      <c r="F235" s="6"/>
      <c r="G235" s="6">
        <v>2500000</v>
      </c>
      <c r="H235" s="6" t="s">
        <v>1858</v>
      </c>
    </row>
    <row r="236" spans="1:8" ht="15.75" x14ac:dyDescent="0.25">
      <c r="A236" s="8">
        <v>46091</v>
      </c>
      <c r="B236" s="6">
        <v>1</v>
      </c>
      <c r="C236" s="6" t="s">
        <v>453</v>
      </c>
      <c r="D236" s="6" t="str">
        <f>VLOOKUP(Table2[[#This Row],[contract_ID]],'Contract data'!B:F,5,FALSE)</f>
        <v>KH161</v>
      </c>
      <c r="E236" s="6">
        <v>2500000</v>
      </c>
      <c r="F236" s="6"/>
      <c r="G236" s="6">
        <v>2500000</v>
      </c>
      <c r="H236" s="6" t="s">
        <v>1858</v>
      </c>
    </row>
    <row r="237" spans="1:8" ht="15.75" x14ac:dyDescent="0.25">
      <c r="A237" s="8">
        <v>46092</v>
      </c>
      <c r="B237" s="6">
        <v>1</v>
      </c>
      <c r="C237" s="6" t="s">
        <v>487</v>
      </c>
      <c r="D237" s="6" t="str">
        <f>VLOOKUP(Table2[[#This Row],[contract_ID]],'Contract data'!B:F,5,FALSE)</f>
        <v>KH011</v>
      </c>
      <c r="E237" s="6"/>
      <c r="F237" s="6"/>
      <c r="G237" s="6">
        <v>0</v>
      </c>
      <c r="H237" s="6" t="s">
        <v>1859</v>
      </c>
    </row>
    <row r="238" spans="1:8" ht="15.75" x14ac:dyDescent="0.25">
      <c r="A238" s="8">
        <v>46049</v>
      </c>
      <c r="B238" s="6">
        <v>1</v>
      </c>
      <c r="C238" s="6" t="s">
        <v>303</v>
      </c>
      <c r="D238" s="6" t="str">
        <f>VLOOKUP(Table2[[#This Row],[contract_ID]],'Contract data'!B:F,5,FALSE)</f>
        <v>KH305</v>
      </c>
      <c r="E238" s="6">
        <v>-10000000</v>
      </c>
      <c r="F238" s="6"/>
      <c r="G238" s="6">
        <v>-10000000</v>
      </c>
      <c r="H238" s="6" t="s">
        <v>1860</v>
      </c>
    </row>
    <row r="239" spans="1:8" ht="15.75" x14ac:dyDescent="0.25">
      <c r="A239" s="8">
        <v>46098</v>
      </c>
      <c r="B239" s="6">
        <v>1</v>
      </c>
      <c r="C239" s="6" t="s">
        <v>361</v>
      </c>
      <c r="D239" s="6" t="str">
        <f>VLOOKUP(Table2[[#This Row],[contract_ID]],'Contract data'!B:F,5,FALSE)</f>
        <v>KH172</v>
      </c>
      <c r="E239" s="6">
        <v>33500000</v>
      </c>
      <c r="F239" s="6"/>
      <c r="G239" s="6">
        <v>33500000</v>
      </c>
      <c r="H239" s="6" t="s">
        <v>1858</v>
      </c>
    </row>
    <row r="240" spans="1:8" ht="15.75" x14ac:dyDescent="0.25">
      <c r="A240" s="8">
        <v>46101</v>
      </c>
      <c r="B240" s="6">
        <v>1</v>
      </c>
      <c r="C240" s="6" t="s">
        <v>433</v>
      </c>
      <c r="D240" s="6" t="str">
        <f>VLOOKUP(Table2[[#This Row],[contract_ID]],'Contract data'!B:F,5,FALSE)</f>
        <v>KH086</v>
      </c>
      <c r="E240" s="6">
        <v>2400000</v>
      </c>
      <c r="F240" s="6"/>
      <c r="G240" s="6">
        <v>2400000</v>
      </c>
      <c r="H240" s="6" t="s">
        <v>1858</v>
      </c>
    </row>
    <row r="241" spans="1:8" ht="15.75" x14ac:dyDescent="0.25">
      <c r="A241" s="8">
        <v>46099</v>
      </c>
      <c r="B241" s="6">
        <v>1</v>
      </c>
      <c r="C241" s="6" t="s">
        <v>501</v>
      </c>
      <c r="D241" s="6" t="str">
        <f>VLOOKUP(Table2[[#This Row],[contract_ID]],'Contract data'!B:F,5,FALSE)</f>
        <v>KH025</v>
      </c>
      <c r="E241" s="6">
        <v>44000000</v>
      </c>
      <c r="F241" s="6"/>
      <c r="G241" s="6">
        <v>44000000</v>
      </c>
      <c r="H241" s="6" t="s">
        <v>1858</v>
      </c>
    </row>
    <row r="242" spans="1:8" ht="15.75" x14ac:dyDescent="0.25">
      <c r="A242" s="8">
        <v>46093</v>
      </c>
      <c r="B242" s="6">
        <v>1</v>
      </c>
      <c r="C242" s="6" t="s">
        <v>484</v>
      </c>
      <c r="D242" s="6" t="str">
        <f>VLOOKUP(Table2[[#This Row],[contract_ID]],'Contract data'!B:F,5,FALSE)</f>
        <v>KH007</v>
      </c>
      <c r="E242" s="6">
        <v>20000000</v>
      </c>
      <c r="F242" s="6"/>
      <c r="G242" s="6">
        <v>20000000</v>
      </c>
      <c r="H242" s="6" t="s">
        <v>1858</v>
      </c>
    </row>
    <row r="243" spans="1:8" ht="15.75" x14ac:dyDescent="0.25">
      <c r="A243" s="8">
        <v>46099</v>
      </c>
      <c r="B243" s="6">
        <v>1</v>
      </c>
      <c r="C243" s="6" t="s">
        <v>378</v>
      </c>
      <c r="D243" s="6" t="str">
        <f>VLOOKUP(Table2[[#This Row],[contract_ID]],'Contract data'!B:F,5,FALSE)</f>
        <v>KH122</v>
      </c>
      <c r="E243" s="6">
        <v>8000000</v>
      </c>
      <c r="F243" s="6"/>
      <c r="G243" s="6">
        <v>8000000</v>
      </c>
      <c r="H243" s="6" t="s">
        <v>1858</v>
      </c>
    </row>
    <row r="244" spans="1:8" ht="15.75" x14ac:dyDescent="0.25">
      <c r="A244" s="8">
        <v>46098</v>
      </c>
      <c r="B244" s="6">
        <v>3</v>
      </c>
      <c r="C244" s="6" t="s">
        <v>429</v>
      </c>
      <c r="D244" s="6" t="str">
        <f>VLOOKUP(Table2[[#This Row],[contract_ID]],'Contract data'!B:F,5,FALSE)</f>
        <v>KH177</v>
      </c>
      <c r="E244" s="6">
        <v>-4000000</v>
      </c>
      <c r="F244" s="6"/>
      <c r="G244" s="6">
        <v>-4000000</v>
      </c>
      <c r="H244" s="6" t="s">
        <v>1860</v>
      </c>
    </row>
  </sheetData>
  <conditionalFormatting sqref="C1:C1048576 D2:D244">
    <cfRule type="duplicateValues" dxfId="2" priority="3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FD0D-049E-4FAC-9AB5-2BC0D15A6C3E}">
  <sheetPr>
    <tabColor rgb="FFFFD966"/>
  </sheetPr>
  <dimension ref="A1:D399"/>
  <sheetViews>
    <sheetView tabSelected="1" workbookViewId="0">
      <selection activeCell="C1" sqref="C1:C1048576"/>
    </sheetView>
  </sheetViews>
  <sheetFormatPr defaultColWidth="8.85546875" defaultRowHeight="12.75" x14ac:dyDescent="0.2"/>
  <cols>
    <col min="1" max="1" width="61.85546875" bestFit="1" customWidth="1"/>
    <col min="2" max="2" width="15.85546875" bestFit="1" customWidth="1"/>
    <col min="3" max="3" width="17.42578125" bestFit="1" customWidth="1"/>
    <col min="4" max="4" width="19" style="3" bestFit="1" customWidth="1"/>
  </cols>
  <sheetData>
    <row r="1" spans="1:4" s="1" customFormat="1" ht="15.75" x14ac:dyDescent="0.25">
      <c r="A1" s="10" t="s">
        <v>1284</v>
      </c>
      <c r="B1" s="7" t="s">
        <v>1283</v>
      </c>
      <c r="C1" s="7" t="s">
        <v>1211</v>
      </c>
      <c r="D1" s="11" t="s">
        <v>1356</v>
      </c>
    </row>
    <row r="2" spans="1:4" ht="15.75" hidden="1" x14ac:dyDescent="0.25">
      <c r="A2" s="9" t="s">
        <v>965</v>
      </c>
      <c r="B2" s="9" t="s">
        <v>532</v>
      </c>
      <c r="C2" s="9" t="s">
        <v>1213</v>
      </c>
      <c r="D2" s="12">
        <v>913901630</v>
      </c>
    </row>
    <row r="3" spans="1:4" ht="15.75" hidden="1" x14ac:dyDescent="0.25">
      <c r="A3" s="9" t="s">
        <v>888</v>
      </c>
      <c r="B3" s="9" t="s">
        <v>533</v>
      </c>
      <c r="C3" s="9" t="s">
        <v>1213</v>
      </c>
      <c r="D3" s="12">
        <v>909092650</v>
      </c>
    </row>
    <row r="4" spans="1:4" ht="15.75" hidden="1" x14ac:dyDescent="0.25">
      <c r="A4" s="9" t="s">
        <v>1052</v>
      </c>
      <c r="B4" s="9" t="s">
        <v>534</v>
      </c>
      <c r="C4" s="9" t="s">
        <v>1213</v>
      </c>
      <c r="D4" s="12">
        <v>938836567</v>
      </c>
    </row>
    <row r="5" spans="1:4" ht="15.75" hidden="1" x14ac:dyDescent="0.25">
      <c r="A5" s="9" t="s">
        <v>1274</v>
      </c>
      <c r="B5" s="9" t="s">
        <v>535</v>
      </c>
      <c r="C5" s="9" t="s">
        <v>1213</v>
      </c>
      <c r="D5" s="12">
        <v>909206494</v>
      </c>
    </row>
    <row r="6" spans="1:4" ht="15.75" x14ac:dyDescent="0.25">
      <c r="A6" s="9" t="s">
        <v>892</v>
      </c>
      <c r="B6" s="9" t="s">
        <v>536</v>
      </c>
      <c r="C6" s="9" t="s">
        <v>1212</v>
      </c>
      <c r="D6" s="12">
        <v>836204897</v>
      </c>
    </row>
    <row r="7" spans="1:4" ht="15.75" hidden="1" x14ac:dyDescent="0.25">
      <c r="A7" s="9" t="s">
        <v>1071</v>
      </c>
      <c r="B7" s="9" t="s">
        <v>537</v>
      </c>
      <c r="C7" s="9" t="s">
        <v>1213</v>
      </c>
      <c r="D7" s="12">
        <v>913906520</v>
      </c>
    </row>
    <row r="8" spans="1:4" ht="15.75" hidden="1" x14ac:dyDescent="0.25">
      <c r="A8" s="9" t="s">
        <v>1266</v>
      </c>
      <c r="B8" s="9" t="s">
        <v>538</v>
      </c>
      <c r="C8" s="9" t="s">
        <v>1213</v>
      </c>
      <c r="D8" s="12" t="s">
        <v>275</v>
      </c>
    </row>
    <row r="9" spans="1:4" ht="15.75" x14ac:dyDescent="0.25">
      <c r="A9" s="9" t="s">
        <v>896</v>
      </c>
      <c r="B9" s="9" t="s">
        <v>539</v>
      </c>
      <c r="C9" s="9" t="s">
        <v>1212</v>
      </c>
      <c r="D9" s="12">
        <v>968726091</v>
      </c>
    </row>
    <row r="10" spans="1:4" ht="15.75" hidden="1" x14ac:dyDescent="0.25">
      <c r="A10" s="9" t="s">
        <v>914</v>
      </c>
      <c r="B10" s="9" t="s">
        <v>540</v>
      </c>
      <c r="C10" s="9" t="s">
        <v>1213</v>
      </c>
      <c r="D10" s="12">
        <v>907031989</v>
      </c>
    </row>
    <row r="11" spans="1:4" ht="15.75" hidden="1" x14ac:dyDescent="0.25">
      <c r="A11" s="9" t="s">
        <v>1068</v>
      </c>
      <c r="B11" s="9" t="s">
        <v>541</v>
      </c>
      <c r="C11" s="9" t="s">
        <v>1213</v>
      </c>
      <c r="D11" s="12">
        <v>909769980</v>
      </c>
    </row>
    <row r="12" spans="1:4" ht="15.75" hidden="1" x14ac:dyDescent="0.25">
      <c r="A12" s="9" t="s">
        <v>889</v>
      </c>
      <c r="B12" s="9" t="s">
        <v>542</v>
      </c>
      <c r="C12" s="9" t="s">
        <v>1213</v>
      </c>
      <c r="D12" s="12">
        <v>965824456</v>
      </c>
    </row>
    <row r="13" spans="1:4" ht="15.75" x14ac:dyDescent="0.25">
      <c r="A13" s="9" t="s">
        <v>1101</v>
      </c>
      <c r="B13" s="9" t="s">
        <v>543</v>
      </c>
      <c r="C13" s="9" t="s">
        <v>1212</v>
      </c>
      <c r="D13" s="12">
        <v>839803129</v>
      </c>
    </row>
    <row r="14" spans="1:4" ht="15.75" hidden="1" x14ac:dyDescent="0.25">
      <c r="A14" s="9" t="s">
        <v>1270</v>
      </c>
      <c r="B14" s="9" t="s">
        <v>544</v>
      </c>
      <c r="C14" s="9" t="s">
        <v>1213</v>
      </c>
      <c r="D14" s="12">
        <v>918319710</v>
      </c>
    </row>
    <row r="15" spans="1:4" ht="15.75" hidden="1" x14ac:dyDescent="0.25">
      <c r="A15" s="9" t="s">
        <v>895</v>
      </c>
      <c r="B15" s="9" t="s">
        <v>545</v>
      </c>
      <c r="C15" s="9" t="s">
        <v>1213</v>
      </c>
      <c r="D15" s="12">
        <v>908246467</v>
      </c>
    </row>
    <row r="16" spans="1:4" ht="15.75" hidden="1" x14ac:dyDescent="0.25">
      <c r="A16" s="9" t="s">
        <v>1076</v>
      </c>
      <c r="B16" s="9" t="s">
        <v>546</v>
      </c>
      <c r="C16" s="9" t="s">
        <v>1213</v>
      </c>
      <c r="D16" s="12">
        <v>949371199</v>
      </c>
    </row>
    <row r="17" spans="1:4" ht="15.75" hidden="1" x14ac:dyDescent="0.25">
      <c r="A17" s="9" t="s">
        <v>1272</v>
      </c>
      <c r="B17" s="9" t="s">
        <v>547</v>
      </c>
      <c r="C17" s="9" t="s">
        <v>1213</v>
      </c>
      <c r="D17" s="12">
        <v>908351120</v>
      </c>
    </row>
    <row r="18" spans="1:4" ht="15.75" hidden="1" x14ac:dyDescent="0.25">
      <c r="A18" s="9" t="s">
        <v>898</v>
      </c>
      <c r="B18" s="9" t="s">
        <v>548</v>
      </c>
      <c r="C18" s="9" t="s">
        <v>1213</v>
      </c>
      <c r="D18" s="12">
        <v>913880000</v>
      </c>
    </row>
    <row r="19" spans="1:4" ht="15.75" hidden="1" x14ac:dyDescent="0.25">
      <c r="A19" s="9" t="s">
        <v>1067</v>
      </c>
      <c r="B19" s="9" t="s">
        <v>549</v>
      </c>
      <c r="C19" s="9" t="s">
        <v>1213</v>
      </c>
      <c r="D19" s="12">
        <v>975446462</v>
      </c>
    </row>
    <row r="20" spans="1:4" ht="15.75" x14ac:dyDescent="0.25">
      <c r="A20" s="9" t="s">
        <v>1273</v>
      </c>
      <c r="B20" s="9" t="s">
        <v>550</v>
      </c>
      <c r="C20" s="9" t="s">
        <v>1212</v>
      </c>
      <c r="D20" s="12" t="s">
        <v>275</v>
      </c>
    </row>
    <row r="21" spans="1:4" ht="15.75" hidden="1" x14ac:dyDescent="0.25">
      <c r="A21" s="9" t="s">
        <v>900</v>
      </c>
      <c r="B21" s="9" t="s">
        <v>551</v>
      </c>
      <c r="C21" s="9" t="s">
        <v>1213</v>
      </c>
      <c r="D21" s="12">
        <v>936188788</v>
      </c>
    </row>
    <row r="22" spans="1:4" ht="15.75" hidden="1" x14ac:dyDescent="0.25">
      <c r="A22" s="9" t="s">
        <v>1108</v>
      </c>
      <c r="B22" s="9" t="s">
        <v>552</v>
      </c>
      <c r="C22" s="9" t="s">
        <v>1213</v>
      </c>
      <c r="D22" s="12">
        <v>939695522</v>
      </c>
    </row>
    <row r="23" spans="1:4" ht="15.75" hidden="1" x14ac:dyDescent="0.25">
      <c r="A23" s="9" t="s">
        <v>1275</v>
      </c>
      <c r="B23" s="9" t="s">
        <v>553</v>
      </c>
      <c r="C23" s="9" t="s">
        <v>1213</v>
      </c>
      <c r="D23" s="12">
        <v>971567028</v>
      </c>
    </row>
    <row r="24" spans="1:4" ht="15.75" hidden="1" x14ac:dyDescent="0.25">
      <c r="A24" s="9" t="s">
        <v>913</v>
      </c>
      <c r="B24" s="9" t="s">
        <v>554</v>
      </c>
      <c r="C24" s="9" t="s">
        <v>1213</v>
      </c>
      <c r="D24" s="12">
        <v>932009799</v>
      </c>
    </row>
    <row r="25" spans="1:4" ht="15.75" hidden="1" x14ac:dyDescent="0.25">
      <c r="A25" s="9" t="s">
        <v>1078</v>
      </c>
      <c r="B25" s="9" t="s">
        <v>555</v>
      </c>
      <c r="C25" s="9" t="s">
        <v>1213</v>
      </c>
      <c r="D25" s="12">
        <v>913235546</v>
      </c>
    </row>
    <row r="26" spans="1:4" ht="15.75" x14ac:dyDescent="0.25">
      <c r="A26" s="9" t="s">
        <v>1281</v>
      </c>
      <c r="B26" s="9" t="s">
        <v>556</v>
      </c>
      <c r="C26" s="9" t="s">
        <v>1212</v>
      </c>
      <c r="D26" s="12">
        <v>967138868</v>
      </c>
    </row>
    <row r="27" spans="1:4" ht="15.75" hidden="1" x14ac:dyDescent="0.25">
      <c r="A27" s="9" t="s">
        <v>910</v>
      </c>
      <c r="B27" s="9" t="s">
        <v>557</v>
      </c>
      <c r="C27" s="9" t="s">
        <v>1213</v>
      </c>
      <c r="D27" s="12">
        <v>985923471</v>
      </c>
    </row>
    <row r="28" spans="1:4" ht="15.75" hidden="1" x14ac:dyDescent="0.25">
      <c r="A28" s="9" t="s">
        <v>1093</v>
      </c>
      <c r="B28" s="9" t="s">
        <v>558</v>
      </c>
      <c r="C28" s="9" t="s">
        <v>1213</v>
      </c>
      <c r="D28" s="12">
        <v>901125423</v>
      </c>
    </row>
    <row r="29" spans="1:4" ht="15.75" hidden="1" x14ac:dyDescent="0.25">
      <c r="A29" s="9" t="s">
        <v>1279</v>
      </c>
      <c r="B29" s="9" t="s">
        <v>559</v>
      </c>
      <c r="C29" s="9" t="s">
        <v>1213</v>
      </c>
      <c r="D29" s="12">
        <v>907298678</v>
      </c>
    </row>
    <row r="30" spans="1:4" ht="15.75" hidden="1" x14ac:dyDescent="0.25">
      <c r="A30" s="9" t="s">
        <v>884</v>
      </c>
      <c r="B30" s="9" t="s">
        <v>560</v>
      </c>
      <c r="C30" s="9" t="s">
        <v>1213</v>
      </c>
      <c r="D30" s="12">
        <v>913780859</v>
      </c>
    </row>
    <row r="31" spans="1:4" ht="15.75" hidden="1" x14ac:dyDescent="0.25">
      <c r="A31" s="9" t="s">
        <v>1065</v>
      </c>
      <c r="B31" s="9" t="s">
        <v>561</v>
      </c>
      <c r="C31" s="9" t="s">
        <v>1213</v>
      </c>
      <c r="D31" s="12">
        <v>913194045</v>
      </c>
    </row>
    <row r="32" spans="1:4" ht="15.75" hidden="1" x14ac:dyDescent="0.25">
      <c r="A32" s="9" t="s">
        <v>904</v>
      </c>
      <c r="B32" s="9" t="s">
        <v>562</v>
      </c>
      <c r="C32" s="9" t="s">
        <v>1213</v>
      </c>
      <c r="D32" s="12">
        <v>904798968</v>
      </c>
    </row>
    <row r="33" spans="1:4" ht="15.75" hidden="1" x14ac:dyDescent="0.25">
      <c r="A33" s="9" t="s">
        <v>1090</v>
      </c>
      <c r="B33" s="9" t="s">
        <v>563</v>
      </c>
      <c r="C33" s="9" t="s">
        <v>1213</v>
      </c>
      <c r="D33" s="12">
        <v>909071322</v>
      </c>
    </row>
    <row r="34" spans="1:4" ht="15.75" hidden="1" x14ac:dyDescent="0.25">
      <c r="A34" s="9" t="s">
        <v>907</v>
      </c>
      <c r="B34" s="9" t="s">
        <v>564</v>
      </c>
      <c r="C34" s="9" t="s">
        <v>1213</v>
      </c>
      <c r="D34" s="12">
        <v>989303828</v>
      </c>
    </row>
    <row r="35" spans="1:4" ht="15.75" hidden="1" x14ac:dyDescent="0.25">
      <c r="A35" s="9" t="s">
        <v>1083</v>
      </c>
      <c r="B35" s="9" t="s">
        <v>565</v>
      </c>
      <c r="C35" s="9" t="s">
        <v>1213</v>
      </c>
      <c r="D35" s="12">
        <v>977790099</v>
      </c>
    </row>
    <row r="36" spans="1:4" ht="15.75" hidden="1" x14ac:dyDescent="0.25">
      <c r="A36" s="9" t="s">
        <v>978</v>
      </c>
      <c r="B36" s="9" t="s">
        <v>566</v>
      </c>
      <c r="C36" s="9" t="s">
        <v>1213</v>
      </c>
      <c r="D36" s="12">
        <v>913971535</v>
      </c>
    </row>
    <row r="37" spans="1:4" ht="15.75" x14ac:dyDescent="0.25">
      <c r="A37" s="9" t="s">
        <v>1088</v>
      </c>
      <c r="B37" s="9" t="s">
        <v>567</v>
      </c>
      <c r="C37" s="9" t="s">
        <v>1212</v>
      </c>
      <c r="D37" s="12">
        <v>903929826</v>
      </c>
    </row>
    <row r="38" spans="1:4" ht="15.75" hidden="1" x14ac:dyDescent="0.25">
      <c r="A38" s="9" t="s">
        <v>934</v>
      </c>
      <c r="B38" s="9" t="s">
        <v>568</v>
      </c>
      <c r="C38" s="9" t="s">
        <v>1213</v>
      </c>
      <c r="D38" s="12">
        <v>903861431</v>
      </c>
    </row>
    <row r="39" spans="1:4" ht="15.75" hidden="1" x14ac:dyDescent="0.25">
      <c r="A39" s="9" t="s">
        <v>1102</v>
      </c>
      <c r="B39" s="9" t="s">
        <v>569</v>
      </c>
      <c r="C39" s="9" t="s">
        <v>1213</v>
      </c>
      <c r="D39" s="12">
        <v>903814181</v>
      </c>
    </row>
    <row r="40" spans="1:4" ht="15.75" hidden="1" x14ac:dyDescent="0.25">
      <c r="A40" s="9" t="s">
        <v>940</v>
      </c>
      <c r="B40" s="9" t="s">
        <v>570</v>
      </c>
      <c r="C40" s="9" t="s">
        <v>1213</v>
      </c>
      <c r="D40" s="12">
        <v>937739498</v>
      </c>
    </row>
    <row r="41" spans="1:4" ht="15.75" hidden="1" x14ac:dyDescent="0.25">
      <c r="A41" s="9" t="s">
        <v>953</v>
      </c>
      <c r="B41" s="9" t="s">
        <v>571</v>
      </c>
      <c r="C41" s="9" t="s">
        <v>1213</v>
      </c>
      <c r="D41" s="12">
        <v>938528095</v>
      </c>
    </row>
    <row r="42" spans="1:4" ht="15.75" hidden="1" x14ac:dyDescent="0.25">
      <c r="A42" s="9" t="s">
        <v>955</v>
      </c>
      <c r="B42" s="9" t="s">
        <v>572</v>
      </c>
      <c r="C42" s="9" t="s">
        <v>1213</v>
      </c>
      <c r="D42" s="12">
        <v>902340777</v>
      </c>
    </row>
    <row r="43" spans="1:4" ht="15.75" hidden="1" x14ac:dyDescent="0.25">
      <c r="A43" s="9" t="s">
        <v>964</v>
      </c>
      <c r="B43" s="9" t="s">
        <v>573</v>
      </c>
      <c r="C43" s="9" t="s">
        <v>1213</v>
      </c>
      <c r="D43" s="12">
        <v>907733077</v>
      </c>
    </row>
    <row r="44" spans="1:4" ht="15.75" x14ac:dyDescent="0.25">
      <c r="A44" s="9" t="s">
        <v>916</v>
      </c>
      <c r="B44" s="9" t="s">
        <v>574</v>
      </c>
      <c r="C44" s="9" t="s">
        <v>1212</v>
      </c>
      <c r="D44" s="12">
        <v>422111999</v>
      </c>
    </row>
    <row r="45" spans="1:4" ht="15.75" x14ac:dyDescent="0.25">
      <c r="A45" s="9" t="s">
        <v>1077</v>
      </c>
      <c r="B45" s="9" t="s">
        <v>575</v>
      </c>
      <c r="C45" s="9" t="s">
        <v>1212</v>
      </c>
      <c r="D45" s="12" t="s">
        <v>275</v>
      </c>
    </row>
    <row r="46" spans="1:4" ht="15.75" hidden="1" x14ac:dyDescent="0.25">
      <c r="A46" s="9" t="s">
        <v>970</v>
      </c>
      <c r="B46" s="9" t="s">
        <v>576</v>
      </c>
      <c r="C46" s="9" t="s">
        <v>1213</v>
      </c>
      <c r="D46" s="12">
        <v>908774006</v>
      </c>
    </row>
    <row r="47" spans="1:4" ht="15.75" hidden="1" x14ac:dyDescent="0.25">
      <c r="A47" s="9" t="s">
        <v>977</v>
      </c>
      <c r="B47" s="9" t="s">
        <v>577</v>
      </c>
      <c r="C47" s="9" t="s">
        <v>1213</v>
      </c>
      <c r="D47" s="12">
        <v>918603799</v>
      </c>
    </row>
    <row r="48" spans="1:4" ht="15.75" hidden="1" x14ac:dyDescent="0.25">
      <c r="A48" s="9" t="s">
        <v>988</v>
      </c>
      <c r="B48" s="9" t="s">
        <v>578</v>
      </c>
      <c r="C48" s="9" t="s">
        <v>1213</v>
      </c>
      <c r="D48" s="12">
        <v>988818083</v>
      </c>
    </row>
    <row r="49" spans="1:4" ht="15.75" hidden="1" x14ac:dyDescent="0.25">
      <c r="A49" s="9" t="s">
        <v>1015</v>
      </c>
      <c r="B49" s="9" t="s">
        <v>579</v>
      </c>
      <c r="C49" s="9" t="s">
        <v>1213</v>
      </c>
      <c r="D49" s="12">
        <v>966805078</v>
      </c>
    </row>
    <row r="50" spans="1:4" ht="15.75" hidden="1" x14ac:dyDescent="0.25">
      <c r="A50" s="9" t="s">
        <v>1013</v>
      </c>
      <c r="B50" s="9" t="s">
        <v>580</v>
      </c>
      <c r="C50" s="9" t="s">
        <v>1213</v>
      </c>
      <c r="D50" s="12">
        <v>987085612</v>
      </c>
    </row>
    <row r="51" spans="1:4" ht="15.75" hidden="1" x14ac:dyDescent="0.25">
      <c r="A51" s="9" t="s">
        <v>1020</v>
      </c>
      <c r="B51" s="9" t="s">
        <v>581</v>
      </c>
      <c r="C51" s="9" t="s">
        <v>1213</v>
      </c>
      <c r="D51" s="12">
        <v>918271527</v>
      </c>
    </row>
    <row r="52" spans="1:4" ht="15.75" hidden="1" x14ac:dyDescent="0.25">
      <c r="A52" s="9" t="s">
        <v>1030</v>
      </c>
      <c r="B52" s="9" t="s">
        <v>582</v>
      </c>
      <c r="C52" s="9" t="s">
        <v>1213</v>
      </c>
      <c r="D52" s="12">
        <v>982255272</v>
      </c>
    </row>
    <row r="53" spans="1:4" ht="15.75" hidden="1" x14ac:dyDescent="0.25">
      <c r="A53" s="9" t="s">
        <v>928</v>
      </c>
      <c r="B53" s="9" t="s">
        <v>583</v>
      </c>
      <c r="C53" s="9" t="s">
        <v>1213</v>
      </c>
      <c r="D53" s="12" t="s">
        <v>275</v>
      </c>
    </row>
    <row r="54" spans="1:4" ht="15.75" hidden="1" x14ac:dyDescent="0.25">
      <c r="A54" s="9" t="s">
        <v>1084</v>
      </c>
      <c r="B54" s="9" t="s">
        <v>584</v>
      </c>
      <c r="C54" s="9" t="s">
        <v>1213</v>
      </c>
      <c r="D54" s="12" t="s">
        <v>275</v>
      </c>
    </row>
    <row r="55" spans="1:4" ht="15.75" hidden="1" x14ac:dyDescent="0.25">
      <c r="A55" s="9" t="s">
        <v>939</v>
      </c>
      <c r="B55" s="9" t="s">
        <v>585</v>
      </c>
      <c r="C55" s="9" t="s">
        <v>1213</v>
      </c>
      <c r="D55" s="12">
        <v>382768666</v>
      </c>
    </row>
    <row r="56" spans="1:4" ht="15.75" hidden="1" x14ac:dyDescent="0.25">
      <c r="A56" s="9" t="s">
        <v>1097</v>
      </c>
      <c r="B56" s="9" t="s">
        <v>586</v>
      </c>
      <c r="C56" s="9" t="s">
        <v>1213</v>
      </c>
      <c r="D56" s="12">
        <v>908081348</v>
      </c>
    </row>
    <row r="57" spans="1:4" ht="15.75" hidden="1" x14ac:dyDescent="0.25">
      <c r="A57" s="9" t="s">
        <v>929</v>
      </c>
      <c r="B57" s="9" t="s">
        <v>587</v>
      </c>
      <c r="C57" s="9" t="s">
        <v>1213</v>
      </c>
      <c r="D57" s="12">
        <v>919077146</v>
      </c>
    </row>
    <row r="58" spans="1:4" ht="15.75" hidden="1" x14ac:dyDescent="0.25">
      <c r="A58" s="9" t="s">
        <v>1086</v>
      </c>
      <c r="B58" s="9" t="s">
        <v>588</v>
      </c>
      <c r="C58" s="9" t="s">
        <v>1213</v>
      </c>
      <c r="D58" s="12">
        <v>328995148</v>
      </c>
    </row>
    <row r="59" spans="1:4" ht="15.75" hidden="1" x14ac:dyDescent="0.25">
      <c r="A59" s="9" t="s">
        <v>938</v>
      </c>
      <c r="B59" s="9" t="s">
        <v>589</v>
      </c>
      <c r="C59" s="9" t="s">
        <v>1213</v>
      </c>
      <c r="D59" s="12">
        <v>906752999</v>
      </c>
    </row>
    <row r="60" spans="1:4" ht="15.75" hidden="1" x14ac:dyDescent="0.25">
      <c r="A60" s="9" t="s">
        <v>1089</v>
      </c>
      <c r="B60" s="9" t="s">
        <v>590</v>
      </c>
      <c r="C60" s="9" t="s">
        <v>1213</v>
      </c>
      <c r="D60" s="12">
        <v>988922168</v>
      </c>
    </row>
    <row r="61" spans="1:4" ht="15.75" x14ac:dyDescent="0.25">
      <c r="A61" s="9" t="s">
        <v>949</v>
      </c>
      <c r="B61" s="9" t="s">
        <v>591</v>
      </c>
      <c r="C61" s="9" t="s">
        <v>1212</v>
      </c>
      <c r="D61" s="12">
        <v>723759992</v>
      </c>
    </row>
    <row r="62" spans="1:4" ht="15.75" hidden="1" x14ac:dyDescent="0.25">
      <c r="A62" s="9" t="s">
        <v>1095</v>
      </c>
      <c r="B62" s="9" t="s">
        <v>592</v>
      </c>
      <c r="C62" s="9" t="s">
        <v>1213</v>
      </c>
      <c r="D62" s="12">
        <v>903802801</v>
      </c>
    </row>
    <row r="63" spans="1:4" ht="15.75" hidden="1" x14ac:dyDescent="0.25">
      <c r="A63" s="9" t="s">
        <v>1111</v>
      </c>
      <c r="B63" s="9" t="s">
        <v>593</v>
      </c>
      <c r="C63" s="9" t="s">
        <v>1213</v>
      </c>
      <c r="D63" s="12" t="s">
        <v>275</v>
      </c>
    </row>
    <row r="64" spans="1:4" ht="15.75" x14ac:dyDescent="0.25">
      <c r="A64" s="9" t="s">
        <v>979</v>
      </c>
      <c r="B64" s="9" t="s">
        <v>594</v>
      </c>
      <c r="C64" s="9" t="s">
        <v>1212</v>
      </c>
      <c r="D64" s="12">
        <v>838449123</v>
      </c>
    </row>
    <row r="65" spans="1:4" ht="15.75" hidden="1" x14ac:dyDescent="0.25">
      <c r="A65" s="9" t="s">
        <v>1099</v>
      </c>
      <c r="B65" s="9" t="s">
        <v>595</v>
      </c>
      <c r="C65" s="9" t="s">
        <v>1213</v>
      </c>
      <c r="D65" s="12">
        <v>907277277</v>
      </c>
    </row>
    <row r="66" spans="1:4" ht="15.75" hidden="1" x14ac:dyDescent="0.25">
      <c r="A66" s="9" t="s">
        <v>961</v>
      </c>
      <c r="B66" s="9" t="s">
        <v>596</v>
      </c>
      <c r="C66" s="9" t="s">
        <v>1213</v>
      </c>
      <c r="D66" s="12" t="s">
        <v>275</v>
      </c>
    </row>
    <row r="67" spans="1:4" ht="15.75" hidden="1" x14ac:dyDescent="0.25">
      <c r="A67" s="9" t="s">
        <v>1237</v>
      </c>
      <c r="B67" s="9" t="s">
        <v>597</v>
      </c>
      <c r="C67" s="9" t="s">
        <v>1213</v>
      </c>
      <c r="D67" s="12">
        <v>903991999</v>
      </c>
    </row>
    <row r="68" spans="1:4" ht="15.75" x14ac:dyDescent="0.25">
      <c r="A68" s="9" t="s">
        <v>976</v>
      </c>
      <c r="B68" s="9" t="s">
        <v>598</v>
      </c>
      <c r="C68" s="9" t="s">
        <v>1212</v>
      </c>
      <c r="D68" s="12">
        <v>944434815</v>
      </c>
    </row>
    <row r="69" spans="1:4" ht="15.75" x14ac:dyDescent="0.25">
      <c r="A69" s="9" t="s">
        <v>1051</v>
      </c>
      <c r="B69" s="9" t="s">
        <v>599</v>
      </c>
      <c r="C69" s="9" t="s">
        <v>1212</v>
      </c>
      <c r="D69" s="12">
        <v>906767509</v>
      </c>
    </row>
    <row r="70" spans="1:4" ht="15.75" hidden="1" x14ac:dyDescent="0.25">
      <c r="A70" s="9" t="s">
        <v>1264</v>
      </c>
      <c r="B70" s="9" t="s">
        <v>600</v>
      </c>
      <c r="C70" s="9" t="s">
        <v>1213</v>
      </c>
      <c r="D70" s="12">
        <v>909214988</v>
      </c>
    </row>
    <row r="71" spans="1:4" ht="15.75" hidden="1" x14ac:dyDescent="0.25">
      <c r="A71" s="9" t="s">
        <v>967</v>
      </c>
      <c r="B71" s="9" t="s">
        <v>601</v>
      </c>
      <c r="C71" s="9" t="s">
        <v>1213</v>
      </c>
      <c r="D71" s="12">
        <v>989657236</v>
      </c>
    </row>
    <row r="72" spans="1:4" ht="15.75" hidden="1" x14ac:dyDescent="0.25">
      <c r="A72" s="9" t="s">
        <v>968</v>
      </c>
      <c r="B72" s="9" t="s">
        <v>602</v>
      </c>
      <c r="C72" s="9" t="s">
        <v>1213</v>
      </c>
      <c r="D72" s="12">
        <v>918276394</v>
      </c>
    </row>
    <row r="73" spans="1:4" ht="15.75" hidden="1" x14ac:dyDescent="0.25">
      <c r="A73" s="9" t="s">
        <v>1181</v>
      </c>
      <c r="B73" s="9" t="s">
        <v>603</v>
      </c>
      <c r="C73" s="9" t="s">
        <v>1213</v>
      </c>
      <c r="D73" s="12">
        <v>909175549</v>
      </c>
    </row>
    <row r="74" spans="1:4" ht="15.75" hidden="1" x14ac:dyDescent="0.25">
      <c r="A74" s="9" t="s">
        <v>960</v>
      </c>
      <c r="B74" s="9" t="s">
        <v>604</v>
      </c>
      <c r="C74" s="9" t="s">
        <v>1213</v>
      </c>
      <c r="D74" s="12">
        <v>908979444</v>
      </c>
    </row>
    <row r="75" spans="1:4" ht="15.75" hidden="1" x14ac:dyDescent="0.25">
      <c r="A75" s="9" t="s">
        <v>996</v>
      </c>
      <c r="B75" s="9" t="s">
        <v>605</v>
      </c>
      <c r="C75" s="9" t="s">
        <v>1213</v>
      </c>
      <c r="D75" s="12">
        <v>888881881</v>
      </c>
    </row>
    <row r="76" spans="1:4" ht="15.75" hidden="1" x14ac:dyDescent="0.25">
      <c r="A76" s="9" t="s">
        <v>1085</v>
      </c>
      <c r="B76" s="9" t="s">
        <v>606</v>
      </c>
      <c r="C76" s="9" t="s">
        <v>1213</v>
      </c>
      <c r="D76" s="12">
        <v>909776747</v>
      </c>
    </row>
    <row r="77" spans="1:4" ht="15.75" hidden="1" x14ac:dyDescent="0.25">
      <c r="A77" s="9" t="s">
        <v>994</v>
      </c>
      <c r="B77" s="9" t="s">
        <v>607</v>
      </c>
      <c r="C77" s="9" t="s">
        <v>1213</v>
      </c>
      <c r="D77" s="12">
        <v>786312688</v>
      </c>
    </row>
    <row r="78" spans="1:4" ht="15.75" x14ac:dyDescent="0.25">
      <c r="A78" s="9" t="s">
        <v>1096</v>
      </c>
      <c r="B78" s="9" t="s">
        <v>608</v>
      </c>
      <c r="C78" s="9" t="s">
        <v>1212</v>
      </c>
      <c r="D78" s="12">
        <v>903800494</v>
      </c>
    </row>
    <row r="79" spans="1:4" ht="15.75" hidden="1" x14ac:dyDescent="0.25">
      <c r="A79" s="9" t="s">
        <v>1009</v>
      </c>
      <c r="B79" s="9" t="s">
        <v>609</v>
      </c>
      <c r="C79" s="9" t="s">
        <v>1213</v>
      </c>
      <c r="D79" s="12">
        <v>918704877</v>
      </c>
    </row>
    <row r="80" spans="1:4" ht="15.75" hidden="1" x14ac:dyDescent="0.25">
      <c r="A80" s="9" t="s">
        <v>1104</v>
      </c>
      <c r="B80" s="9" t="s">
        <v>610</v>
      </c>
      <c r="C80" s="9" t="s">
        <v>1213</v>
      </c>
      <c r="D80" s="12">
        <v>906615999</v>
      </c>
    </row>
    <row r="81" spans="1:4" ht="15.75" x14ac:dyDescent="0.25">
      <c r="A81" s="9" t="s">
        <v>1112</v>
      </c>
      <c r="B81" s="9" t="s">
        <v>611</v>
      </c>
      <c r="C81" s="9" t="s">
        <v>1212</v>
      </c>
      <c r="D81" s="12">
        <v>439712763</v>
      </c>
    </row>
    <row r="82" spans="1:4" ht="15.75" hidden="1" x14ac:dyDescent="0.25">
      <c r="A82" s="9" t="s">
        <v>1128</v>
      </c>
      <c r="B82" s="9" t="s">
        <v>612</v>
      </c>
      <c r="C82" s="9" t="s">
        <v>1213</v>
      </c>
      <c r="D82" s="12">
        <v>903102041</v>
      </c>
    </row>
    <row r="83" spans="1:4" ht="15.75" x14ac:dyDescent="0.25">
      <c r="A83" s="9" t="s">
        <v>1106</v>
      </c>
      <c r="B83" s="9" t="s">
        <v>613</v>
      </c>
      <c r="C83" s="9" t="s">
        <v>1212</v>
      </c>
      <c r="D83" s="12">
        <v>835361358</v>
      </c>
    </row>
    <row r="84" spans="1:4" ht="15.75" hidden="1" x14ac:dyDescent="0.25">
      <c r="A84" s="9" t="s">
        <v>1200</v>
      </c>
      <c r="B84" s="9" t="s">
        <v>614</v>
      </c>
      <c r="C84" s="9" t="s">
        <v>1213</v>
      </c>
      <c r="D84" s="12">
        <v>974482717</v>
      </c>
    </row>
    <row r="85" spans="1:4" ht="15.75" hidden="1" x14ac:dyDescent="0.25">
      <c r="A85" s="9" t="s">
        <v>1224</v>
      </c>
      <c r="B85" s="9" t="s">
        <v>615</v>
      </c>
      <c r="C85" s="9" t="s">
        <v>1213</v>
      </c>
      <c r="D85" s="12">
        <v>931793878</v>
      </c>
    </row>
    <row r="86" spans="1:4" ht="15.75" x14ac:dyDescent="0.25">
      <c r="A86" s="9" t="s">
        <v>1201</v>
      </c>
      <c r="B86" s="9" t="s">
        <v>616</v>
      </c>
      <c r="C86" s="9" t="s">
        <v>1212</v>
      </c>
      <c r="D86" s="12">
        <v>837711739</v>
      </c>
    </row>
    <row r="87" spans="1:4" ht="15.75" hidden="1" x14ac:dyDescent="0.25">
      <c r="A87" s="9" t="s">
        <v>1221</v>
      </c>
      <c r="B87" s="9" t="s">
        <v>617</v>
      </c>
      <c r="C87" s="9" t="s">
        <v>1213</v>
      </c>
      <c r="D87" s="12">
        <v>903924033</v>
      </c>
    </row>
    <row r="88" spans="1:4" ht="15.75" hidden="1" x14ac:dyDescent="0.25">
      <c r="A88" s="9" t="s">
        <v>1198</v>
      </c>
      <c r="B88" s="9" t="s">
        <v>618</v>
      </c>
      <c r="C88" s="9" t="s">
        <v>1213</v>
      </c>
      <c r="D88" s="12">
        <v>917889952</v>
      </c>
    </row>
    <row r="89" spans="1:4" ht="15.75" hidden="1" x14ac:dyDescent="0.25">
      <c r="A89" s="9" t="s">
        <v>1208</v>
      </c>
      <c r="B89" s="9" t="s">
        <v>619</v>
      </c>
      <c r="C89" s="9" t="s">
        <v>1213</v>
      </c>
      <c r="D89" s="12">
        <v>902230572</v>
      </c>
    </row>
    <row r="90" spans="1:4" ht="15.75" hidden="1" x14ac:dyDescent="0.25">
      <c r="A90" s="9" t="s">
        <v>1247</v>
      </c>
      <c r="B90" s="9" t="s">
        <v>620</v>
      </c>
      <c r="C90" s="9" t="s">
        <v>1213</v>
      </c>
      <c r="D90" s="12">
        <v>357579497</v>
      </c>
    </row>
    <row r="91" spans="1:4" ht="15.75" hidden="1" x14ac:dyDescent="0.25">
      <c r="A91" s="9" t="s">
        <v>952</v>
      </c>
      <c r="B91" s="9" t="s">
        <v>621</v>
      </c>
      <c r="C91" s="9" t="s">
        <v>1213</v>
      </c>
      <c r="D91" s="12" t="s">
        <v>275</v>
      </c>
    </row>
    <row r="92" spans="1:4" ht="15.75" hidden="1" x14ac:dyDescent="0.25">
      <c r="A92" s="9" t="s">
        <v>1251</v>
      </c>
      <c r="B92" s="9" t="s">
        <v>622</v>
      </c>
      <c r="C92" s="9" t="s">
        <v>1213</v>
      </c>
      <c r="D92" s="12">
        <v>937819686</v>
      </c>
    </row>
    <row r="93" spans="1:4" ht="15.75" hidden="1" x14ac:dyDescent="0.25">
      <c r="A93" s="9" t="s">
        <v>1136</v>
      </c>
      <c r="B93" s="9" t="s">
        <v>623</v>
      </c>
      <c r="C93" s="9" t="s">
        <v>1213</v>
      </c>
      <c r="D93" s="12">
        <v>934706372</v>
      </c>
    </row>
    <row r="94" spans="1:4" ht="15.75" hidden="1" x14ac:dyDescent="0.25">
      <c r="A94" s="9" t="s">
        <v>971</v>
      </c>
      <c r="B94" s="9" t="s">
        <v>624</v>
      </c>
      <c r="C94" s="9" t="s">
        <v>1213</v>
      </c>
      <c r="D94" s="12">
        <v>983346393</v>
      </c>
    </row>
    <row r="95" spans="1:4" ht="15.75" hidden="1" x14ac:dyDescent="0.25">
      <c r="A95" s="9" t="s">
        <v>1116</v>
      </c>
      <c r="B95" s="9" t="s">
        <v>625</v>
      </c>
      <c r="C95" s="9" t="s">
        <v>1213</v>
      </c>
      <c r="D95" s="12">
        <v>906346911</v>
      </c>
    </row>
    <row r="96" spans="1:4" ht="15.75" hidden="1" x14ac:dyDescent="0.25">
      <c r="A96" s="9" t="s">
        <v>972</v>
      </c>
      <c r="B96" s="9" t="s">
        <v>626</v>
      </c>
      <c r="C96" s="9" t="s">
        <v>1213</v>
      </c>
      <c r="D96" s="12">
        <v>988590127</v>
      </c>
    </row>
    <row r="97" spans="1:4" ht="15.75" hidden="1" x14ac:dyDescent="0.25">
      <c r="A97" s="9" t="s">
        <v>1121</v>
      </c>
      <c r="B97" s="9" t="s">
        <v>627</v>
      </c>
      <c r="C97" s="9" t="s">
        <v>1213</v>
      </c>
      <c r="D97" s="12">
        <v>916249289</v>
      </c>
    </row>
    <row r="98" spans="1:4" ht="15.75" hidden="1" x14ac:dyDescent="0.25">
      <c r="A98" s="9" t="s">
        <v>974</v>
      </c>
      <c r="B98" s="9" t="s">
        <v>628</v>
      </c>
      <c r="C98" s="9" t="s">
        <v>1213</v>
      </c>
      <c r="D98" s="12">
        <v>918158237</v>
      </c>
    </row>
    <row r="99" spans="1:4" ht="15.75" hidden="1" x14ac:dyDescent="0.25">
      <c r="A99" s="9" t="s">
        <v>993</v>
      </c>
      <c r="B99" s="9" t="s">
        <v>629</v>
      </c>
      <c r="C99" s="9" t="s">
        <v>1213</v>
      </c>
      <c r="D99" s="12">
        <v>332051927</v>
      </c>
    </row>
    <row r="100" spans="1:4" ht="15.75" x14ac:dyDescent="0.25">
      <c r="A100" s="9" t="s">
        <v>1123</v>
      </c>
      <c r="B100" s="9" t="s">
        <v>630</v>
      </c>
      <c r="C100" s="9" t="s">
        <v>1212</v>
      </c>
      <c r="D100" s="12">
        <v>917778899</v>
      </c>
    </row>
    <row r="101" spans="1:4" ht="15.75" hidden="1" x14ac:dyDescent="0.25">
      <c r="A101" s="9" t="s">
        <v>990</v>
      </c>
      <c r="B101" s="9" t="s">
        <v>631</v>
      </c>
      <c r="C101" s="9" t="s">
        <v>1213</v>
      </c>
      <c r="D101" s="12">
        <v>918593236</v>
      </c>
    </row>
    <row r="102" spans="1:4" ht="15.75" hidden="1" x14ac:dyDescent="0.25">
      <c r="A102" s="9" t="s">
        <v>1143</v>
      </c>
      <c r="B102" s="9" t="s">
        <v>632</v>
      </c>
      <c r="C102" s="9" t="s">
        <v>1213</v>
      </c>
      <c r="D102" s="12">
        <v>913894843</v>
      </c>
    </row>
    <row r="103" spans="1:4" ht="15.75" hidden="1" x14ac:dyDescent="0.25">
      <c r="A103" s="9" t="s">
        <v>983</v>
      </c>
      <c r="B103" s="9" t="s">
        <v>633</v>
      </c>
      <c r="C103" s="9" t="s">
        <v>1213</v>
      </c>
      <c r="D103" s="12">
        <v>932786878</v>
      </c>
    </row>
    <row r="104" spans="1:4" ht="15.75" hidden="1" x14ac:dyDescent="0.25">
      <c r="A104" s="9" t="s">
        <v>1158</v>
      </c>
      <c r="B104" s="9" t="s">
        <v>634</v>
      </c>
      <c r="C104" s="9" t="s">
        <v>1213</v>
      </c>
      <c r="D104" s="12">
        <v>917360117</v>
      </c>
    </row>
    <row r="105" spans="1:4" ht="15.75" hidden="1" x14ac:dyDescent="0.25">
      <c r="A105" s="9" t="s">
        <v>1149</v>
      </c>
      <c r="B105" s="9" t="s">
        <v>635</v>
      </c>
      <c r="C105" s="9" t="s">
        <v>1213</v>
      </c>
      <c r="D105" s="12">
        <v>903913624</v>
      </c>
    </row>
    <row r="106" spans="1:4" ht="15.75" hidden="1" x14ac:dyDescent="0.25">
      <c r="A106" s="9" t="s">
        <v>995</v>
      </c>
      <c r="B106" s="9" t="s">
        <v>636</v>
      </c>
      <c r="C106" s="9" t="s">
        <v>1213</v>
      </c>
      <c r="D106" s="12">
        <v>932757978</v>
      </c>
    </row>
    <row r="107" spans="1:4" ht="15.75" hidden="1" x14ac:dyDescent="0.25">
      <c r="A107" s="9" t="s">
        <v>1147</v>
      </c>
      <c r="B107" s="9" t="s">
        <v>637</v>
      </c>
      <c r="C107" s="9" t="s">
        <v>1213</v>
      </c>
      <c r="D107" s="12">
        <v>981220297</v>
      </c>
    </row>
    <row r="108" spans="1:4" ht="15.75" x14ac:dyDescent="0.25">
      <c r="A108" s="9" t="s">
        <v>1040</v>
      </c>
      <c r="B108" s="9" t="s">
        <v>638</v>
      </c>
      <c r="C108" s="9" t="s">
        <v>1212</v>
      </c>
      <c r="D108" s="12">
        <v>908116169</v>
      </c>
    </row>
    <row r="109" spans="1:4" ht="15.75" hidden="1" x14ac:dyDescent="0.25">
      <c r="A109" s="9" t="s">
        <v>1153</v>
      </c>
      <c r="B109" s="9" t="s">
        <v>639</v>
      </c>
      <c r="C109" s="9" t="s">
        <v>1213</v>
      </c>
      <c r="D109" s="12">
        <v>913880000</v>
      </c>
    </row>
    <row r="110" spans="1:4" ht="15.75" x14ac:dyDescent="0.25">
      <c r="A110" s="9" t="s">
        <v>1007</v>
      </c>
      <c r="B110" s="9" t="s">
        <v>640</v>
      </c>
      <c r="C110" s="9" t="s">
        <v>1212</v>
      </c>
      <c r="D110" s="12">
        <v>743568586</v>
      </c>
    </row>
    <row r="111" spans="1:4" ht="15.75" hidden="1" x14ac:dyDescent="0.25">
      <c r="A111" s="9" t="s">
        <v>1012</v>
      </c>
      <c r="B111" s="9" t="s">
        <v>641</v>
      </c>
      <c r="C111" s="9" t="s">
        <v>1213</v>
      </c>
      <c r="D111" s="12">
        <v>903810486</v>
      </c>
    </row>
    <row r="112" spans="1:4" ht="15.75" hidden="1" x14ac:dyDescent="0.25">
      <c r="A112" s="9" t="s">
        <v>1163</v>
      </c>
      <c r="B112" s="9" t="s">
        <v>642</v>
      </c>
      <c r="C112" s="9" t="s">
        <v>1213</v>
      </c>
      <c r="D112" s="12">
        <v>906777409</v>
      </c>
    </row>
    <row r="113" spans="1:4" ht="15.75" hidden="1" x14ac:dyDescent="0.25">
      <c r="A113" s="9" t="s">
        <v>1023</v>
      </c>
      <c r="B113" s="9" t="s">
        <v>643</v>
      </c>
      <c r="C113" s="9" t="s">
        <v>1213</v>
      </c>
      <c r="D113" s="12">
        <v>903704909</v>
      </c>
    </row>
    <row r="114" spans="1:4" ht="15.75" hidden="1" x14ac:dyDescent="0.25">
      <c r="A114" s="9" t="s">
        <v>1156</v>
      </c>
      <c r="B114" s="9" t="s">
        <v>644</v>
      </c>
      <c r="C114" s="9" t="s">
        <v>1213</v>
      </c>
      <c r="D114" s="12">
        <v>905237049</v>
      </c>
    </row>
    <row r="115" spans="1:4" ht="15.75" hidden="1" x14ac:dyDescent="0.25">
      <c r="A115" s="9" t="s">
        <v>1027</v>
      </c>
      <c r="B115" s="9" t="s">
        <v>645</v>
      </c>
      <c r="C115" s="9" t="s">
        <v>1213</v>
      </c>
      <c r="D115" s="12">
        <v>903836138</v>
      </c>
    </row>
    <row r="116" spans="1:4" ht="15.75" hidden="1" x14ac:dyDescent="0.25">
      <c r="A116" s="9" t="s">
        <v>1166</v>
      </c>
      <c r="B116" s="9" t="s">
        <v>646</v>
      </c>
      <c r="C116" s="9" t="s">
        <v>1213</v>
      </c>
      <c r="D116" s="12">
        <v>903371904</v>
      </c>
    </row>
    <row r="117" spans="1:4" ht="15.75" hidden="1" x14ac:dyDescent="0.25">
      <c r="A117" s="9" t="s">
        <v>1162</v>
      </c>
      <c r="B117" s="9" t="s">
        <v>647</v>
      </c>
      <c r="C117" s="9" t="s">
        <v>1213</v>
      </c>
      <c r="D117" s="12">
        <v>908391224</v>
      </c>
    </row>
    <row r="118" spans="1:4" ht="15.75" x14ac:dyDescent="0.25">
      <c r="A118" s="9" t="s">
        <v>1034</v>
      </c>
      <c r="B118" s="9" t="s">
        <v>648</v>
      </c>
      <c r="C118" s="9" t="s">
        <v>1212</v>
      </c>
      <c r="D118" s="12">
        <v>862622899</v>
      </c>
    </row>
    <row r="119" spans="1:4" ht="15.75" hidden="1" x14ac:dyDescent="0.25">
      <c r="A119" s="9" t="s">
        <v>1168</v>
      </c>
      <c r="B119" s="9" t="s">
        <v>649</v>
      </c>
      <c r="C119" s="9" t="s">
        <v>1213</v>
      </c>
      <c r="D119" s="12">
        <v>909993069</v>
      </c>
    </row>
    <row r="120" spans="1:4" ht="15.75" hidden="1" x14ac:dyDescent="0.25">
      <c r="A120" s="9" t="s">
        <v>1043</v>
      </c>
      <c r="B120" s="9" t="s">
        <v>650</v>
      </c>
      <c r="C120" s="9" t="s">
        <v>1213</v>
      </c>
      <c r="D120" s="12">
        <v>965824456</v>
      </c>
    </row>
    <row r="121" spans="1:4" ht="15.75" hidden="1" x14ac:dyDescent="0.25">
      <c r="A121" s="9" t="s">
        <v>1170</v>
      </c>
      <c r="B121" s="9" t="s">
        <v>651</v>
      </c>
      <c r="C121" s="9" t="s">
        <v>1213</v>
      </c>
      <c r="D121" s="12">
        <v>913808899</v>
      </c>
    </row>
    <row r="122" spans="1:4" ht="15.75" hidden="1" x14ac:dyDescent="0.25">
      <c r="A122" s="9" t="s">
        <v>1046</v>
      </c>
      <c r="B122" s="9" t="s">
        <v>652</v>
      </c>
      <c r="C122" s="9" t="s">
        <v>1213</v>
      </c>
      <c r="D122" s="12">
        <v>903846161</v>
      </c>
    </row>
    <row r="123" spans="1:4" ht="15.75" hidden="1" x14ac:dyDescent="0.25">
      <c r="A123" s="9" t="s">
        <v>1172</v>
      </c>
      <c r="B123" s="9" t="s">
        <v>653</v>
      </c>
      <c r="C123" s="9" t="s">
        <v>1213</v>
      </c>
      <c r="D123" s="12">
        <v>989888880</v>
      </c>
    </row>
    <row r="124" spans="1:4" ht="15.75" hidden="1" x14ac:dyDescent="0.25">
      <c r="A124" s="9" t="s">
        <v>1047</v>
      </c>
      <c r="B124" s="9" t="s">
        <v>654</v>
      </c>
      <c r="C124" s="9" t="s">
        <v>1213</v>
      </c>
      <c r="D124" s="12">
        <v>976379921</v>
      </c>
    </row>
    <row r="125" spans="1:4" ht="15.75" hidden="1" x14ac:dyDescent="0.25">
      <c r="A125" s="9" t="s">
        <v>1184</v>
      </c>
      <c r="B125" s="9" t="s">
        <v>655</v>
      </c>
      <c r="C125" s="9" t="s">
        <v>1213</v>
      </c>
      <c r="D125" s="12">
        <v>983322119</v>
      </c>
    </row>
    <row r="126" spans="1:4" ht="15.75" hidden="1" x14ac:dyDescent="0.25">
      <c r="A126" s="9" t="s">
        <v>1180</v>
      </c>
      <c r="B126" s="9" t="s">
        <v>656</v>
      </c>
      <c r="C126" s="9" t="s">
        <v>1213</v>
      </c>
      <c r="D126" s="12">
        <v>943333119</v>
      </c>
    </row>
    <row r="127" spans="1:4" ht="15.75" hidden="1" x14ac:dyDescent="0.25">
      <c r="A127" s="9" t="s">
        <v>1185</v>
      </c>
      <c r="B127" s="9" t="s">
        <v>657</v>
      </c>
      <c r="C127" s="9" t="s">
        <v>1213</v>
      </c>
      <c r="D127" s="12">
        <v>903999270</v>
      </c>
    </row>
    <row r="128" spans="1:4" ht="15.75" hidden="1" x14ac:dyDescent="0.25">
      <c r="A128" s="9" t="s">
        <v>1183</v>
      </c>
      <c r="B128" s="9" t="s">
        <v>658</v>
      </c>
      <c r="C128" s="9" t="s">
        <v>1213</v>
      </c>
      <c r="D128" s="12">
        <v>938683879</v>
      </c>
    </row>
    <row r="129" spans="1:4" ht="15.75" hidden="1" x14ac:dyDescent="0.25">
      <c r="A129" s="9" t="s">
        <v>1204</v>
      </c>
      <c r="B129" s="9" t="s">
        <v>659</v>
      </c>
      <c r="C129" s="9" t="s">
        <v>1213</v>
      </c>
      <c r="D129" s="12" t="s">
        <v>275</v>
      </c>
    </row>
    <row r="130" spans="1:4" ht="15.75" hidden="1" x14ac:dyDescent="0.25">
      <c r="A130" s="9" t="s">
        <v>1199</v>
      </c>
      <c r="B130" s="9" t="s">
        <v>660</v>
      </c>
      <c r="C130" s="9" t="s">
        <v>1213</v>
      </c>
      <c r="D130" s="12">
        <v>918011903</v>
      </c>
    </row>
    <row r="131" spans="1:4" ht="15.75" x14ac:dyDescent="0.25">
      <c r="A131" s="9" t="s">
        <v>1202</v>
      </c>
      <c r="B131" s="9" t="s">
        <v>661</v>
      </c>
      <c r="C131" s="9" t="s">
        <v>1212</v>
      </c>
      <c r="D131" s="12">
        <v>909217661</v>
      </c>
    </row>
    <row r="132" spans="1:4" ht="15.75" hidden="1" x14ac:dyDescent="0.25">
      <c r="A132" s="9" t="s">
        <v>1222</v>
      </c>
      <c r="B132" s="9" t="s">
        <v>662</v>
      </c>
      <c r="C132" s="9" t="s">
        <v>1213</v>
      </c>
      <c r="D132" s="12">
        <v>913805528</v>
      </c>
    </row>
    <row r="133" spans="1:4" ht="15.75" hidden="1" x14ac:dyDescent="0.25">
      <c r="A133" s="9" t="s">
        <v>950</v>
      </c>
      <c r="B133" s="9" t="s">
        <v>663</v>
      </c>
      <c r="C133" s="9" t="s">
        <v>1213</v>
      </c>
      <c r="D133" s="12">
        <v>986707939</v>
      </c>
    </row>
    <row r="134" spans="1:4" ht="15.75" hidden="1" x14ac:dyDescent="0.25">
      <c r="A134" s="9" t="s">
        <v>1069</v>
      </c>
      <c r="B134" s="9" t="s">
        <v>664</v>
      </c>
      <c r="C134" s="9" t="s">
        <v>1213</v>
      </c>
      <c r="D134" s="12">
        <v>972324567</v>
      </c>
    </row>
    <row r="135" spans="1:4" ht="15.75" hidden="1" x14ac:dyDescent="0.25">
      <c r="A135" s="9" t="s">
        <v>1262</v>
      </c>
      <c r="B135" s="9" t="s">
        <v>665</v>
      </c>
      <c r="C135" s="9" t="s">
        <v>1213</v>
      </c>
      <c r="D135" s="12">
        <v>919096942</v>
      </c>
    </row>
    <row r="136" spans="1:4" ht="15.75" hidden="1" x14ac:dyDescent="0.25">
      <c r="A136" s="9" t="s">
        <v>890</v>
      </c>
      <c r="B136" s="9" t="s">
        <v>666</v>
      </c>
      <c r="C136" s="9" t="s">
        <v>1213</v>
      </c>
      <c r="D136" s="12">
        <v>827878938</v>
      </c>
    </row>
    <row r="137" spans="1:4" ht="15.75" hidden="1" x14ac:dyDescent="0.25">
      <c r="A137" s="9" t="s">
        <v>1057</v>
      </c>
      <c r="B137" s="9" t="s">
        <v>667</v>
      </c>
      <c r="C137" s="9" t="s">
        <v>1213</v>
      </c>
      <c r="D137" s="12">
        <v>981275787</v>
      </c>
    </row>
    <row r="138" spans="1:4" ht="15.75" hidden="1" x14ac:dyDescent="0.25">
      <c r="A138" s="9" t="s">
        <v>891</v>
      </c>
      <c r="B138" s="9" t="s">
        <v>668</v>
      </c>
      <c r="C138" s="9" t="s">
        <v>1213</v>
      </c>
      <c r="D138" s="12">
        <v>903579729</v>
      </c>
    </row>
    <row r="139" spans="1:4" ht="15.75" hidden="1" x14ac:dyDescent="0.25">
      <c r="A139" s="9" t="s">
        <v>1117</v>
      </c>
      <c r="B139" s="9" t="s">
        <v>669</v>
      </c>
      <c r="C139" s="9" t="s">
        <v>1213</v>
      </c>
      <c r="D139" s="12">
        <v>903814168</v>
      </c>
    </row>
    <row r="140" spans="1:4" ht="15.75" hidden="1" x14ac:dyDescent="0.25">
      <c r="A140" s="9" t="s">
        <v>946</v>
      </c>
      <c r="B140" s="9" t="s">
        <v>670</v>
      </c>
      <c r="C140" s="9" t="s">
        <v>1213</v>
      </c>
      <c r="D140" s="12">
        <v>944338857</v>
      </c>
    </row>
    <row r="141" spans="1:4" ht="15.75" hidden="1" x14ac:dyDescent="0.25">
      <c r="A141" s="9" t="s">
        <v>1072</v>
      </c>
      <c r="B141" s="9" t="s">
        <v>671</v>
      </c>
      <c r="C141" s="9" t="s">
        <v>1213</v>
      </c>
      <c r="D141" s="12">
        <v>903958931</v>
      </c>
    </row>
    <row r="142" spans="1:4" ht="15.75" hidden="1" x14ac:dyDescent="0.25">
      <c r="A142" s="9" t="s">
        <v>926</v>
      </c>
      <c r="B142" s="9" t="s">
        <v>672</v>
      </c>
      <c r="C142" s="9" t="s">
        <v>1213</v>
      </c>
      <c r="D142" s="12">
        <v>903838821</v>
      </c>
    </row>
    <row r="143" spans="1:4" ht="15.75" hidden="1" x14ac:dyDescent="0.25">
      <c r="A143" s="9" t="s">
        <v>1073</v>
      </c>
      <c r="B143" s="9" t="s">
        <v>673</v>
      </c>
      <c r="C143" s="9" t="s">
        <v>1213</v>
      </c>
      <c r="D143" s="12">
        <v>943887791</v>
      </c>
    </row>
    <row r="144" spans="1:4" ht="15.75" hidden="1" x14ac:dyDescent="0.25">
      <c r="A144" s="9" t="s">
        <v>966</v>
      </c>
      <c r="B144" s="9" t="s">
        <v>674</v>
      </c>
      <c r="C144" s="9" t="s">
        <v>1213</v>
      </c>
      <c r="D144" s="12">
        <v>363586868</v>
      </c>
    </row>
    <row r="145" spans="1:4" ht="15.75" hidden="1" x14ac:dyDescent="0.25">
      <c r="A145" s="9" t="s">
        <v>1098</v>
      </c>
      <c r="B145" s="9" t="s">
        <v>675</v>
      </c>
      <c r="C145" s="9" t="s">
        <v>1213</v>
      </c>
      <c r="D145" s="12">
        <v>939106868</v>
      </c>
    </row>
    <row r="146" spans="1:4" ht="15.75" hidden="1" x14ac:dyDescent="0.25">
      <c r="A146" s="9" t="s">
        <v>969</v>
      </c>
      <c r="B146" s="9" t="s">
        <v>676</v>
      </c>
      <c r="C146" s="9" t="s">
        <v>1213</v>
      </c>
      <c r="D146" s="12">
        <v>934747575</v>
      </c>
    </row>
    <row r="147" spans="1:4" ht="15.75" hidden="1" x14ac:dyDescent="0.25">
      <c r="A147" s="9" t="s">
        <v>1137</v>
      </c>
      <c r="B147" s="9" t="s">
        <v>677</v>
      </c>
      <c r="C147" s="9" t="s">
        <v>1213</v>
      </c>
      <c r="D147" s="12">
        <v>931793878</v>
      </c>
    </row>
    <row r="148" spans="1:4" ht="15.75" hidden="1" x14ac:dyDescent="0.25">
      <c r="A148" s="9" t="s">
        <v>998</v>
      </c>
      <c r="B148" s="9" t="s">
        <v>678</v>
      </c>
      <c r="C148" s="9" t="s">
        <v>1213</v>
      </c>
      <c r="D148" s="12">
        <v>903618484</v>
      </c>
    </row>
    <row r="149" spans="1:4" ht="15.75" hidden="1" x14ac:dyDescent="0.25">
      <c r="A149" s="9" t="s">
        <v>1094</v>
      </c>
      <c r="B149" s="9" t="s">
        <v>679</v>
      </c>
      <c r="C149" s="9" t="s">
        <v>1213</v>
      </c>
      <c r="D149" s="12">
        <v>907939989</v>
      </c>
    </row>
    <row r="150" spans="1:4" ht="15.75" hidden="1" x14ac:dyDescent="0.25">
      <c r="A150" s="9" t="s">
        <v>1021</v>
      </c>
      <c r="B150" s="9" t="s">
        <v>680</v>
      </c>
      <c r="C150" s="9" t="s">
        <v>1213</v>
      </c>
      <c r="D150" s="12">
        <v>915838378</v>
      </c>
    </row>
    <row r="151" spans="1:4" ht="15.75" hidden="1" x14ac:dyDescent="0.25">
      <c r="A151" s="9" t="s">
        <v>1092</v>
      </c>
      <c r="B151" s="9" t="s">
        <v>681</v>
      </c>
      <c r="C151" s="9" t="s">
        <v>1213</v>
      </c>
      <c r="D151" s="12">
        <v>978673476</v>
      </c>
    </row>
    <row r="152" spans="1:4" ht="15.75" hidden="1" x14ac:dyDescent="0.25">
      <c r="A152" s="9" t="s">
        <v>1214</v>
      </c>
      <c r="B152" s="9" t="s">
        <v>682</v>
      </c>
      <c r="C152" s="9" t="s">
        <v>1213</v>
      </c>
      <c r="D152" s="12">
        <v>908174386</v>
      </c>
    </row>
    <row r="153" spans="1:4" ht="15.75" hidden="1" x14ac:dyDescent="0.25">
      <c r="A153" s="9" t="s">
        <v>1100</v>
      </c>
      <c r="B153" s="9" t="s">
        <v>683</v>
      </c>
      <c r="C153" s="9" t="s">
        <v>1213</v>
      </c>
      <c r="D153" s="12">
        <v>909991779</v>
      </c>
    </row>
    <row r="154" spans="1:4" ht="15.75" hidden="1" x14ac:dyDescent="0.25">
      <c r="A154" s="9" t="s">
        <v>1014</v>
      </c>
      <c r="B154" s="9" t="s">
        <v>684</v>
      </c>
      <c r="C154" s="9" t="s">
        <v>1213</v>
      </c>
      <c r="D154" s="12">
        <v>972347799</v>
      </c>
    </row>
    <row r="155" spans="1:4" ht="15.75" hidden="1" x14ac:dyDescent="0.25">
      <c r="A155" s="9" t="s">
        <v>1151</v>
      </c>
      <c r="B155" s="9" t="s">
        <v>685</v>
      </c>
      <c r="C155" s="9" t="s">
        <v>1213</v>
      </c>
      <c r="D155" s="12">
        <v>988471999</v>
      </c>
    </row>
    <row r="156" spans="1:4" ht="15.75" hidden="1" x14ac:dyDescent="0.25">
      <c r="A156" s="9" t="s">
        <v>1144</v>
      </c>
      <c r="B156" s="9" t="s">
        <v>686</v>
      </c>
      <c r="C156" s="9" t="s">
        <v>1213</v>
      </c>
      <c r="D156" s="12">
        <v>941303968</v>
      </c>
    </row>
    <row r="157" spans="1:4" ht="15.75" hidden="1" x14ac:dyDescent="0.25">
      <c r="A157" s="9" t="s">
        <v>1154</v>
      </c>
      <c r="B157" s="9" t="s">
        <v>687</v>
      </c>
      <c r="C157" s="9" t="s">
        <v>1213</v>
      </c>
      <c r="D157" s="12">
        <v>938933890</v>
      </c>
    </row>
    <row r="158" spans="1:4" ht="15.75" hidden="1" x14ac:dyDescent="0.25">
      <c r="A158" s="9" t="s">
        <v>1169</v>
      </c>
      <c r="B158" s="9" t="s">
        <v>688</v>
      </c>
      <c r="C158" s="9" t="s">
        <v>1213</v>
      </c>
      <c r="D158" s="12">
        <v>903313536</v>
      </c>
    </row>
    <row r="159" spans="1:4" ht="15.75" hidden="1" x14ac:dyDescent="0.25">
      <c r="A159" s="9" t="s">
        <v>1218</v>
      </c>
      <c r="B159" s="9" t="s">
        <v>689</v>
      </c>
      <c r="C159" s="9" t="s">
        <v>1213</v>
      </c>
      <c r="D159" s="12">
        <v>913242886</v>
      </c>
    </row>
    <row r="160" spans="1:4" ht="15.75" hidden="1" x14ac:dyDescent="0.25">
      <c r="A160" s="9" t="s">
        <v>1229</v>
      </c>
      <c r="B160" s="9" t="s">
        <v>690</v>
      </c>
      <c r="C160" s="9" t="s">
        <v>1213</v>
      </c>
      <c r="D160" s="12">
        <v>919236326</v>
      </c>
    </row>
    <row r="161" spans="1:4" ht="15.75" hidden="1" x14ac:dyDescent="0.25">
      <c r="A161" s="9" t="s">
        <v>1238</v>
      </c>
      <c r="B161" s="9" t="s">
        <v>691</v>
      </c>
      <c r="C161" s="9" t="s">
        <v>1213</v>
      </c>
      <c r="D161" s="12">
        <v>908262143</v>
      </c>
    </row>
    <row r="162" spans="1:4" ht="15.75" hidden="1" x14ac:dyDescent="0.25">
      <c r="A162" s="9" t="s">
        <v>1239</v>
      </c>
      <c r="B162" s="9" t="s">
        <v>692</v>
      </c>
      <c r="C162" s="9" t="s">
        <v>1213</v>
      </c>
      <c r="D162" s="12">
        <v>908262143</v>
      </c>
    </row>
    <row r="163" spans="1:4" ht="15.75" hidden="1" x14ac:dyDescent="0.25">
      <c r="A163" s="9" t="s">
        <v>1241</v>
      </c>
      <c r="B163" s="9" t="s">
        <v>693</v>
      </c>
      <c r="C163" s="9" t="s">
        <v>1213</v>
      </c>
      <c r="D163" s="12">
        <v>903884477</v>
      </c>
    </row>
    <row r="164" spans="1:4" ht="15.75" hidden="1" x14ac:dyDescent="0.25">
      <c r="A164" s="9" t="s">
        <v>1240</v>
      </c>
      <c r="B164" s="9" t="s">
        <v>694</v>
      </c>
      <c r="C164" s="9" t="s">
        <v>1213</v>
      </c>
      <c r="D164" s="12">
        <v>903892169</v>
      </c>
    </row>
    <row r="165" spans="1:4" ht="15.75" hidden="1" x14ac:dyDescent="0.25">
      <c r="A165" s="9" t="s">
        <v>1006</v>
      </c>
      <c r="B165" s="9" t="s">
        <v>695</v>
      </c>
      <c r="C165" s="9" t="s">
        <v>1213</v>
      </c>
      <c r="D165" s="12">
        <v>944211055</v>
      </c>
    </row>
    <row r="166" spans="1:4" ht="15.75" hidden="1" x14ac:dyDescent="0.25">
      <c r="A166" s="9" t="s">
        <v>1070</v>
      </c>
      <c r="B166" s="9" t="s">
        <v>696</v>
      </c>
      <c r="C166" s="9" t="s">
        <v>1213</v>
      </c>
      <c r="D166" s="12">
        <v>906355745</v>
      </c>
    </row>
    <row r="167" spans="1:4" ht="15.75" hidden="1" x14ac:dyDescent="0.25">
      <c r="A167" s="9" t="s">
        <v>1263</v>
      </c>
      <c r="B167" s="9" t="s">
        <v>697</v>
      </c>
      <c r="C167" s="9" t="s">
        <v>1213</v>
      </c>
      <c r="D167" s="12">
        <v>909601471</v>
      </c>
    </row>
    <row r="168" spans="1:4" ht="15.75" hidden="1" x14ac:dyDescent="0.25">
      <c r="A168" s="9" t="s">
        <v>1155</v>
      </c>
      <c r="B168" s="9" t="s">
        <v>698</v>
      </c>
      <c r="C168" s="9" t="s">
        <v>1213</v>
      </c>
      <c r="D168" s="12">
        <v>933268898</v>
      </c>
    </row>
    <row r="169" spans="1:4" ht="15.75" hidden="1" x14ac:dyDescent="0.25">
      <c r="A169" s="9" t="s">
        <v>1269</v>
      </c>
      <c r="B169" s="9" t="s">
        <v>699</v>
      </c>
      <c r="C169" s="9" t="s">
        <v>1213</v>
      </c>
      <c r="D169" s="12">
        <v>918887211</v>
      </c>
    </row>
    <row r="170" spans="1:4" ht="15.75" hidden="1" x14ac:dyDescent="0.25">
      <c r="A170" s="9" t="s">
        <v>1118</v>
      </c>
      <c r="B170" s="9" t="s">
        <v>700</v>
      </c>
      <c r="C170" s="9" t="s">
        <v>1213</v>
      </c>
      <c r="D170" s="12">
        <v>706865841</v>
      </c>
    </row>
    <row r="171" spans="1:4" ht="15.75" hidden="1" x14ac:dyDescent="0.25">
      <c r="A171" s="9" t="s">
        <v>1135</v>
      </c>
      <c r="B171" s="9" t="s">
        <v>701</v>
      </c>
      <c r="C171" s="9" t="s">
        <v>1213</v>
      </c>
      <c r="D171" s="12">
        <v>909603720</v>
      </c>
    </row>
    <row r="172" spans="1:4" ht="15.75" hidden="1" x14ac:dyDescent="0.25">
      <c r="A172" s="9" t="s">
        <v>1140</v>
      </c>
      <c r="B172" s="9" t="s">
        <v>702</v>
      </c>
      <c r="C172" s="9" t="s">
        <v>1213</v>
      </c>
      <c r="D172" s="12">
        <v>915322318</v>
      </c>
    </row>
    <row r="173" spans="1:4" ht="15.75" hidden="1" x14ac:dyDescent="0.25">
      <c r="A173" s="9" t="s">
        <v>1157</v>
      </c>
      <c r="B173" s="9" t="s">
        <v>703</v>
      </c>
      <c r="C173" s="9" t="s">
        <v>1213</v>
      </c>
      <c r="D173" s="12">
        <v>986681318</v>
      </c>
    </row>
    <row r="174" spans="1:4" ht="15.75" x14ac:dyDescent="0.25">
      <c r="A174" s="9" t="s">
        <v>1258</v>
      </c>
      <c r="B174" s="9" t="s">
        <v>704</v>
      </c>
      <c r="C174" s="9" t="s">
        <v>1212</v>
      </c>
      <c r="D174" s="12">
        <v>439333701</v>
      </c>
    </row>
    <row r="175" spans="1:4" ht="15.75" x14ac:dyDescent="0.25">
      <c r="A175" s="9" t="s">
        <v>1253</v>
      </c>
      <c r="B175" s="9" t="s">
        <v>705</v>
      </c>
      <c r="C175" s="9" t="s">
        <v>1212</v>
      </c>
      <c r="D175" s="12">
        <v>836368581</v>
      </c>
    </row>
    <row r="176" spans="1:4" ht="15.75" hidden="1" x14ac:dyDescent="0.25">
      <c r="A176" s="9" t="s">
        <v>1259</v>
      </c>
      <c r="B176" s="9" t="s">
        <v>706</v>
      </c>
      <c r="C176" s="9" t="s">
        <v>1213</v>
      </c>
      <c r="D176" s="12">
        <v>909399515</v>
      </c>
    </row>
    <row r="177" spans="1:4" ht="15.75" x14ac:dyDescent="0.25">
      <c r="A177" s="9" t="s">
        <v>1206</v>
      </c>
      <c r="B177" s="9" t="s">
        <v>707</v>
      </c>
      <c r="C177" s="9" t="s">
        <v>1212</v>
      </c>
      <c r="D177" s="12">
        <v>908223788</v>
      </c>
    </row>
    <row r="178" spans="1:4" ht="15.75" hidden="1" x14ac:dyDescent="0.25">
      <c r="A178" s="9" t="s">
        <v>1217</v>
      </c>
      <c r="B178" s="9" t="s">
        <v>708</v>
      </c>
      <c r="C178" s="9" t="s">
        <v>1213</v>
      </c>
      <c r="D178" s="12">
        <v>908162668</v>
      </c>
    </row>
    <row r="179" spans="1:4" ht="15.75" hidden="1" x14ac:dyDescent="0.25">
      <c r="A179" s="9" t="s">
        <v>1223</v>
      </c>
      <c r="B179" s="9" t="s">
        <v>709</v>
      </c>
      <c r="C179" s="9" t="s">
        <v>1213</v>
      </c>
      <c r="D179" s="12">
        <v>948772772</v>
      </c>
    </row>
    <row r="180" spans="1:4" ht="15.75" x14ac:dyDescent="0.25">
      <c r="A180" s="9" t="s">
        <v>1248</v>
      </c>
      <c r="B180" s="9" t="s">
        <v>710</v>
      </c>
      <c r="C180" s="9" t="s">
        <v>1212</v>
      </c>
      <c r="D180" s="12">
        <v>947183333</v>
      </c>
    </row>
    <row r="181" spans="1:4" ht="15.75" hidden="1" x14ac:dyDescent="0.25">
      <c r="A181" s="9" t="s">
        <v>1120</v>
      </c>
      <c r="B181" s="9" t="s">
        <v>711</v>
      </c>
      <c r="C181" s="9" t="s">
        <v>1213</v>
      </c>
      <c r="D181" s="12">
        <v>918035838</v>
      </c>
    </row>
    <row r="182" spans="1:4" ht="15.75" hidden="1" x14ac:dyDescent="0.25">
      <c r="A182" s="9" t="s">
        <v>1260</v>
      </c>
      <c r="B182" s="9" t="s">
        <v>712</v>
      </c>
      <c r="C182" s="9" t="s">
        <v>1213</v>
      </c>
      <c r="D182" s="12">
        <v>909817577</v>
      </c>
    </row>
    <row r="183" spans="1:4" ht="15.75" hidden="1" x14ac:dyDescent="0.25">
      <c r="A183" s="9" t="s">
        <v>1132</v>
      </c>
      <c r="B183" s="9" t="s">
        <v>713</v>
      </c>
      <c r="C183" s="9" t="s">
        <v>1213</v>
      </c>
      <c r="D183" s="12">
        <v>932965991</v>
      </c>
    </row>
    <row r="184" spans="1:4" ht="15.75" hidden="1" x14ac:dyDescent="0.25">
      <c r="A184" s="9" t="s">
        <v>1265</v>
      </c>
      <c r="B184" s="9" t="s">
        <v>714</v>
      </c>
      <c r="C184" s="9" t="s">
        <v>1213</v>
      </c>
      <c r="D184" s="12">
        <v>913860170</v>
      </c>
    </row>
    <row r="185" spans="1:4" ht="15.75" hidden="1" x14ac:dyDescent="0.25">
      <c r="A185" s="9" t="s">
        <v>1182</v>
      </c>
      <c r="B185" s="9" t="s">
        <v>715</v>
      </c>
      <c r="C185" s="9" t="s">
        <v>1213</v>
      </c>
      <c r="D185" s="12">
        <v>936663123</v>
      </c>
    </row>
    <row r="186" spans="1:4" ht="15.75" hidden="1" x14ac:dyDescent="0.25">
      <c r="A186" s="9" t="s">
        <v>1191</v>
      </c>
      <c r="B186" s="9" t="s">
        <v>716</v>
      </c>
      <c r="C186" s="9" t="s">
        <v>1213</v>
      </c>
      <c r="D186" s="12">
        <v>988603989</v>
      </c>
    </row>
    <row r="187" spans="1:4" ht="15.75" hidden="1" x14ac:dyDescent="0.25">
      <c r="A187" s="9" t="s">
        <v>1194</v>
      </c>
      <c r="B187" s="9" t="s">
        <v>717</v>
      </c>
      <c r="C187" s="9" t="s">
        <v>1213</v>
      </c>
      <c r="D187" s="12">
        <v>989871107</v>
      </c>
    </row>
    <row r="188" spans="1:4" ht="15.75" hidden="1" x14ac:dyDescent="0.25">
      <c r="A188" s="9" t="s">
        <v>1234</v>
      </c>
      <c r="B188" s="9" t="s">
        <v>718</v>
      </c>
      <c r="C188" s="9" t="s">
        <v>1213</v>
      </c>
      <c r="D188" s="12">
        <v>964259985</v>
      </c>
    </row>
    <row r="189" spans="1:4" ht="15.75" hidden="1" x14ac:dyDescent="0.25">
      <c r="A189" s="9" t="s">
        <v>943</v>
      </c>
      <c r="B189" s="9" t="s">
        <v>719</v>
      </c>
      <c r="C189" s="9" t="s">
        <v>1213</v>
      </c>
      <c r="D189" s="12">
        <v>913441863</v>
      </c>
    </row>
    <row r="190" spans="1:4" ht="15.75" hidden="1" x14ac:dyDescent="0.25">
      <c r="A190" s="9" t="s">
        <v>1243</v>
      </c>
      <c r="B190" s="9" t="s">
        <v>720</v>
      </c>
      <c r="C190" s="9" t="s">
        <v>1213</v>
      </c>
      <c r="D190" s="12">
        <v>901169123</v>
      </c>
    </row>
    <row r="191" spans="1:4" ht="15.75" hidden="1" x14ac:dyDescent="0.25">
      <c r="A191" s="9" t="s">
        <v>1255</v>
      </c>
      <c r="B191" s="9" t="s">
        <v>721</v>
      </c>
      <c r="C191" s="9" t="s">
        <v>1213</v>
      </c>
      <c r="D191" s="12">
        <v>369035779</v>
      </c>
    </row>
    <row r="192" spans="1:4" ht="15.75" x14ac:dyDescent="0.25">
      <c r="A192" s="9" t="s">
        <v>883</v>
      </c>
      <c r="B192" s="9" t="s">
        <v>722</v>
      </c>
      <c r="C192" s="9" t="s">
        <v>1212</v>
      </c>
      <c r="D192" s="12">
        <v>838218960</v>
      </c>
    </row>
    <row r="193" spans="1:4" ht="15.75" hidden="1" x14ac:dyDescent="0.25">
      <c r="A193" s="9" t="s">
        <v>1061</v>
      </c>
      <c r="B193" s="9" t="s">
        <v>723</v>
      </c>
      <c r="C193" s="9" t="s">
        <v>1213</v>
      </c>
      <c r="D193" s="12">
        <v>903901478</v>
      </c>
    </row>
    <row r="194" spans="1:4" ht="15.75" hidden="1" x14ac:dyDescent="0.25">
      <c r="A194" s="9" t="s">
        <v>991</v>
      </c>
      <c r="B194" s="9" t="s">
        <v>724</v>
      </c>
      <c r="C194" s="9" t="s">
        <v>1213</v>
      </c>
      <c r="D194" s="12">
        <v>918588579</v>
      </c>
    </row>
    <row r="195" spans="1:4" ht="15.75" hidden="1" x14ac:dyDescent="0.25">
      <c r="A195" s="9" t="s">
        <v>1244</v>
      </c>
      <c r="B195" s="9" t="s">
        <v>725</v>
      </c>
      <c r="C195" s="9" t="s">
        <v>1213</v>
      </c>
      <c r="D195" s="12">
        <v>935804705</v>
      </c>
    </row>
    <row r="196" spans="1:4" ht="15.75" hidden="1" x14ac:dyDescent="0.25">
      <c r="A196" s="9" t="s">
        <v>1267</v>
      </c>
      <c r="B196" s="9" t="s">
        <v>726</v>
      </c>
      <c r="C196" s="9" t="s">
        <v>1213</v>
      </c>
      <c r="D196" s="12">
        <v>905125245</v>
      </c>
    </row>
    <row r="197" spans="1:4" ht="15.75" x14ac:dyDescent="0.25">
      <c r="A197" s="9" t="s">
        <v>905</v>
      </c>
      <c r="B197" s="9" t="s">
        <v>727</v>
      </c>
      <c r="C197" s="9" t="s">
        <v>1212</v>
      </c>
      <c r="D197" s="12" t="s">
        <v>275</v>
      </c>
    </row>
    <row r="198" spans="1:4" ht="15.75" hidden="1" x14ac:dyDescent="0.25">
      <c r="A198" s="9" t="s">
        <v>1060</v>
      </c>
      <c r="B198" s="9" t="s">
        <v>728</v>
      </c>
      <c r="C198" s="9" t="s">
        <v>1213</v>
      </c>
      <c r="D198" s="12">
        <v>983106886</v>
      </c>
    </row>
    <row r="199" spans="1:4" ht="15.75" hidden="1" x14ac:dyDescent="0.25">
      <c r="A199" s="9" t="s">
        <v>1245</v>
      </c>
      <c r="B199" s="9" t="s">
        <v>729</v>
      </c>
      <c r="C199" s="9" t="s">
        <v>1213</v>
      </c>
      <c r="D199" s="12">
        <v>915422221</v>
      </c>
    </row>
    <row r="200" spans="1:4" ht="15.75" hidden="1" x14ac:dyDescent="0.25">
      <c r="A200" s="9" t="s">
        <v>1268</v>
      </c>
      <c r="B200" s="9" t="s">
        <v>730</v>
      </c>
      <c r="C200" s="9" t="s">
        <v>1213</v>
      </c>
      <c r="D200" s="12">
        <v>915155357</v>
      </c>
    </row>
    <row r="201" spans="1:4" ht="15.75" hidden="1" x14ac:dyDescent="0.25">
      <c r="A201" s="9" t="s">
        <v>908</v>
      </c>
      <c r="B201" s="9" t="s">
        <v>731</v>
      </c>
      <c r="C201" s="9" t="s">
        <v>1213</v>
      </c>
      <c r="D201" s="12" t="s">
        <v>275</v>
      </c>
    </row>
    <row r="202" spans="1:4" ht="15.75" x14ac:dyDescent="0.25">
      <c r="A202" s="9" t="s">
        <v>1075</v>
      </c>
      <c r="B202" s="9" t="s">
        <v>732</v>
      </c>
      <c r="C202" s="9" t="s">
        <v>1212</v>
      </c>
      <c r="D202" s="12" t="s">
        <v>275</v>
      </c>
    </row>
    <row r="203" spans="1:4" ht="15.75" hidden="1" x14ac:dyDescent="0.25">
      <c r="A203" s="9" t="s">
        <v>918</v>
      </c>
      <c r="B203" s="9" t="s">
        <v>733</v>
      </c>
      <c r="C203" s="9" t="s">
        <v>1213</v>
      </c>
      <c r="D203" s="12" t="s">
        <v>275</v>
      </c>
    </row>
    <row r="204" spans="1:4" ht="15.75" hidden="1" x14ac:dyDescent="0.25">
      <c r="A204" s="9" t="s">
        <v>1080</v>
      </c>
      <c r="B204" s="9" t="s">
        <v>734</v>
      </c>
      <c r="C204" s="9" t="s">
        <v>1213</v>
      </c>
      <c r="D204" s="12" t="s">
        <v>275</v>
      </c>
    </row>
    <row r="205" spans="1:4" ht="15.75" hidden="1" x14ac:dyDescent="0.25">
      <c r="A205" s="9" t="s">
        <v>925</v>
      </c>
      <c r="B205" s="9" t="s">
        <v>735</v>
      </c>
      <c r="C205" s="9" t="s">
        <v>1213</v>
      </c>
      <c r="D205" s="12">
        <v>937183595</v>
      </c>
    </row>
    <row r="206" spans="1:4" ht="15.75" hidden="1" x14ac:dyDescent="0.25">
      <c r="A206" s="9" t="s">
        <v>1125</v>
      </c>
      <c r="B206" s="9" t="s">
        <v>736</v>
      </c>
      <c r="C206" s="9" t="s">
        <v>1213</v>
      </c>
      <c r="D206" s="12">
        <v>903954146</v>
      </c>
    </row>
    <row r="207" spans="1:4" ht="15.75" hidden="1" x14ac:dyDescent="0.25">
      <c r="A207" s="9" t="s">
        <v>936</v>
      </c>
      <c r="B207" s="9" t="s">
        <v>737</v>
      </c>
      <c r="C207" s="9" t="s">
        <v>1213</v>
      </c>
      <c r="D207" s="12">
        <v>918882022</v>
      </c>
    </row>
    <row r="208" spans="1:4" ht="15.75" hidden="1" x14ac:dyDescent="0.25">
      <c r="A208" s="9" t="s">
        <v>1109</v>
      </c>
      <c r="B208" s="9" t="s">
        <v>738</v>
      </c>
      <c r="C208" s="9" t="s">
        <v>1213</v>
      </c>
      <c r="D208" s="12">
        <v>913413357</v>
      </c>
    </row>
    <row r="209" spans="1:4" ht="15.75" hidden="1" x14ac:dyDescent="0.25">
      <c r="A209" s="9" t="s">
        <v>945</v>
      </c>
      <c r="B209" s="9" t="s">
        <v>739</v>
      </c>
      <c r="C209" s="9" t="s">
        <v>1213</v>
      </c>
      <c r="D209" s="12" t="s">
        <v>275</v>
      </c>
    </row>
    <row r="210" spans="1:4" ht="15.75" hidden="1" x14ac:dyDescent="0.25">
      <c r="A210" s="9" t="s">
        <v>1119</v>
      </c>
      <c r="B210" s="9" t="s">
        <v>740</v>
      </c>
      <c r="C210" s="9" t="s">
        <v>1213</v>
      </c>
      <c r="D210" s="12" t="s">
        <v>275</v>
      </c>
    </row>
    <row r="211" spans="1:4" ht="15.75" hidden="1" x14ac:dyDescent="0.25">
      <c r="A211" s="9" t="s">
        <v>947</v>
      </c>
      <c r="B211" s="9" t="s">
        <v>741</v>
      </c>
      <c r="C211" s="9" t="s">
        <v>1213</v>
      </c>
      <c r="D211" s="12" t="s">
        <v>275</v>
      </c>
    </row>
    <row r="212" spans="1:4" ht="15.75" hidden="1" x14ac:dyDescent="0.25">
      <c r="A212" s="9" t="s">
        <v>1124</v>
      </c>
      <c r="B212" s="9" t="s">
        <v>742</v>
      </c>
      <c r="C212" s="9" t="s">
        <v>1213</v>
      </c>
      <c r="D212" s="12">
        <v>904959289</v>
      </c>
    </row>
    <row r="213" spans="1:4" ht="15.75" hidden="1" x14ac:dyDescent="0.25">
      <c r="A213" s="9" t="s">
        <v>962</v>
      </c>
      <c r="B213" s="9" t="s">
        <v>743</v>
      </c>
      <c r="C213" s="9" t="s">
        <v>1213</v>
      </c>
      <c r="D213" s="12" t="s">
        <v>275</v>
      </c>
    </row>
    <row r="214" spans="1:4" ht="15.75" hidden="1" x14ac:dyDescent="0.25">
      <c r="A214" s="9" t="s">
        <v>1115</v>
      </c>
      <c r="B214" s="9" t="s">
        <v>744</v>
      </c>
      <c r="C214" s="9" t="s">
        <v>1213</v>
      </c>
      <c r="D214" s="12">
        <v>903800562</v>
      </c>
    </row>
    <row r="215" spans="1:4" ht="15.75" hidden="1" x14ac:dyDescent="0.25">
      <c r="A215" s="9" t="s">
        <v>981</v>
      </c>
      <c r="B215" s="9" t="s">
        <v>745</v>
      </c>
      <c r="C215" s="9" t="s">
        <v>1213</v>
      </c>
      <c r="D215" s="12">
        <v>908392229</v>
      </c>
    </row>
    <row r="216" spans="1:4" ht="15.75" x14ac:dyDescent="0.25">
      <c r="A216" s="9" t="s">
        <v>1145</v>
      </c>
      <c r="B216" s="9" t="s">
        <v>746</v>
      </c>
      <c r="C216" s="9" t="s">
        <v>1212</v>
      </c>
      <c r="D216" s="12" t="s">
        <v>275</v>
      </c>
    </row>
    <row r="217" spans="1:4" ht="15.75" hidden="1" x14ac:dyDescent="0.25">
      <c r="A217" s="9" t="s">
        <v>987</v>
      </c>
      <c r="B217" s="9" t="s">
        <v>747</v>
      </c>
      <c r="C217" s="9" t="s">
        <v>1213</v>
      </c>
      <c r="D217" s="12" t="s">
        <v>275</v>
      </c>
    </row>
    <row r="218" spans="1:4" ht="15.75" hidden="1" x14ac:dyDescent="0.25">
      <c r="A218" s="9" t="s">
        <v>1150</v>
      </c>
      <c r="B218" s="9" t="s">
        <v>748</v>
      </c>
      <c r="C218" s="9" t="s">
        <v>1213</v>
      </c>
      <c r="D218" s="12">
        <v>919485009</v>
      </c>
    </row>
    <row r="219" spans="1:4" ht="15.75" hidden="1" x14ac:dyDescent="0.25">
      <c r="A219" s="9" t="s">
        <v>1044</v>
      </c>
      <c r="B219" s="9" t="s">
        <v>749</v>
      </c>
      <c r="C219" s="9" t="s">
        <v>1213</v>
      </c>
      <c r="D219" s="12" t="s">
        <v>275</v>
      </c>
    </row>
    <row r="220" spans="1:4" ht="15.75" hidden="1" x14ac:dyDescent="0.25">
      <c r="A220" s="9" t="s">
        <v>1011</v>
      </c>
      <c r="B220" s="9" t="s">
        <v>750</v>
      </c>
      <c r="C220" s="9" t="s">
        <v>1213</v>
      </c>
      <c r="D220" s="12">
        <v>906125575</v>
      </c>
    </row>
    <row r="221" spans="1:4" ht="15.75" hidden="1" x14ac:dyDescent="0.25">
      <c r="A221" s="9" t="s">
        <v>1186</v>
      </c>
      <c r="B221" s="9" t="s">
        <v>751</v>
      </c>
      <c r="C221" s="9" t="s">
        <v>1213</v>
      </c>
      <c r="D221" s="12">
        <v>909232464</v>
      </c>
    </row>
    <row r="222" spans="1:4" ht="15.75" hidden="1" x14ac:dyDescent="0.25">
      <c r="A222" s="9" t="s">
        <v>1026</v>
      </c>
      <c r="B222" s="9" t="s">
        <v>752</v>
      </c>
      <c r="C222" s="9" t="s">
        <v>1213</v>
      </c>
      <c r="D222" s="12">
        <v>917220473</v>
      </c>
    </row>
    <row r="223" spans="1:4" ht="15.75" hidden="1" x14ac:dyDescent="0.25">
      <c r="A223" s="9" t="s">
        <v>1232</v>
      </c>
      <c r="B223" s="9" t="s">
        <v>753</v>
      </c>
      <c r="C223" s="9" t="s">
        <v>1213</v>
      </c>
      <c r="D223" s="12">
        <v>902372795</v>
      </c>
    </row>
    <row r="224" spans="1:4" ht="15.75" hidden="1" x14ac:dyDescent="0.25">
      <c r="A224" s="9" t="s">
        <v>1033</v>
      </c>
      <c r="B224" s="9" t="s">
        <v>754</v>
      </c>
      <c r="C224" s="9" t="s">
        <v>1213</v>
      </c>
      <c r="D224" s="12">
        <v>969545835</v>
      </c>
    </row>
    <row r="225" spans="1:4" ht="15.75" hidden="1" x14ac:dyDescent="0.25">
      <c r="A225" s="9" t="s">
        <v>1036</v>
      </c>
      <c r="B225" s="9" t="s">
        <v>755</v>
      </c>
      <c r="C225" s="9" t="s">
        <v>1213</v>
      </c>
      <c r="D225" s="12">
        <v>916519805</v>
      </c>
    </row>
    <row r="226" spans="1:4" ht="15.75" hidden="1" x14ac:dyDescent="0.25">
      <c r="A226" s="9" t="s">
        <v>1037</v>
      </c>
      <c r="B226" s="9" t="s">
        <v>756</v>
      </c>
      <c r="C226" s="9" t="s">
        <v>1213</v>
      </c>
      <c r="D226" s="12">
        <v>985737007</v>
      </c>
    </row>
    <row r="227" spans="1:4" ht="15.75" hidden="1" x14ac:dyDescent="0.25">
      <c r="A227" s="9" t="s">
        <v>1280</v>
      </c>
      <c r="B227" s="9" t="s">
        <v>757</v>
      </c>
      <c r="C227" s="9" t="s">
        <v>1213</v>
      </c>
      <c r="D227" s="12">
        <v>902392279</v>
      </c>
    </row>
    <row r="228" spans="1:4" ht="15.75" x14ac:dyDescent="0.25">
      <c r="A228" s="9" t="s">
        <v>911</v>
      </c>
      <c r="B228" s="9" t="s">
        <v>758</v>
      </c>
      <c r="C228" s="9" t="s">
        <v>1212</v>
      </c>
      <c r="D228" s="12">
        <v>905898688</v>
      </c>
    </row>
    <row r="229" spans="1:4" ht="15.75" x14ac:dyDescent="0.25">
      <c r="A229" s="9" t="s">
        <v>1054</v>
      </c>
      <c r="B229" s="9" t="s">
        <v>759</v>
      </c>
      <c r="C229" s="9" t="s">
        <v>1212</v>
      </c>
      <c r="D229" s="12">
        <v>939999686</v>
      </c>
    </row>
    <row r="230" spans="1:4" ht="15.75" hidden="1" x14ac:dyDescent="0.25">
      <c r="A230" s="9" t="s">
        <v>986</v>
      </c>
      <c r="B230" s="9" t="s">
        <v>760</v>
      </c>
      <c r="C230" s="9" t="s">
        <v>1213</v>
      </c>
      <c r="D230" s="12">
        <v>909100112</v>
      </c>
    </row>
    <row r="231" spans="1:4" ht="15.75" hidden="1" x14ac:dyDescent="0.25">
      <c r="A231" s="9" t="s">
        <v>1058</v>
      </c>
      <c r="B231" s="9" t="s">
        <v>761</v>
      </c>
      <c r="C231" s="9" t="s">
        <v>1213</v>
      </c>
      <c r="D231" s="12">
        <v>907389399</v>
      </c>
    </row>
    <row r="232" spans="1:4" ht="15.75" hidden="1" x14ac:dyDescent="0.25">
      <c r="A232" s="9" t="s">
        <v>917</v>
      </c>
      <c r="B232" s="9" t="s">
        <v>762</v>
      </c>
      <c r="C232" s="9" t="s">
        <v>1213</v>
      </c>
      <c r="D232" s="12">
        <v>909590615</v>
      </c>
    </row>
    <row r="233" spans="1:4" ht="15.75" hidden="1" x14ac:dyDescent="0.25">
      <c r="A233" s="9" t="s">
        <v>1113</v>
      </c>
      <c r="B233" s="9" t="s">
        <v>763</v>
      </c>
      <c r="C233" s="9" t="s">
        <v>1213</v>
      </c>
      <c r="D233" s="12">
        <v>903863666</v>
      </c>
    </row>
    <row r="234" spans="1:4" ht="15.75" hidden="1" x14ac:dyDescent="0.25">
      <c r="A234" s="9" t="s">
        <v>1042</v>
      </c>
      <c r="B234" s="9" t="s">
        <v>764</v>
      </c>
      <c r="C234" s="9" t="s">
        <v>1213</v>
      </c>
      <c r="D234" s="12">
        <v>938256269</v>
      </c>
    </row>
    <row r="235" spans="1:4" ht="15.75" hidden="1" x14ac:dyDescent="0.25">
      <c r="A235" s="9" t="s">
        <v>1142</v>
      </c>
      <c r="B235" s="9" t="s">
        <v>765</v>
      </c>
      <c r="C235" s="9" t="s">
        <v>1213</v>
      </c>
      <c r="D235" s="12">
        <v>918172080</v>
      </c>
    </row>
    <row r="236" spans="1:4" ht="15.75" x14ac:dyDescent="0.25">
      <c r="A236" s="9" t="s">
        <v>954</v>
      </c>
      <c r="B236" s="9" t="s">
        <v>766</v>
      </c>
      <c r="C236" s="9" t="s">
        <v>1212</v>
      </c>
      <c r="D236" s="12">
        <v>918930835</v>
      </c>
    </row>
    <row r="237" spans="1:4" ht="15.75" hidden="1" x14ac:dyDescent="0.25">
      <c r="A237" s="9" t="s">
        <v>1146</v>
      </c>
      <c r="B237" s="9" t="s">
        <v>767</v>
      </c>
      <c r="C237" s="9" t="s">
        <v>1213</v>
      </c>
      <c r="D237" s="12">
        <v>909502500</v>
      </c>
    </row>
    <row r="238" spans="1:4" ht="15.75" hidden="1" x14ac:dyDescent="0.25">
      <c r="A238" s="9" t="s">
        <v>1004</v>
      </c>
      <c r="B238" s="9" t="s">
        <v>768</v>
      </c>
      <c r="C238" s="9" t="s">
        <v>1213</v>
      </c>
      <c r="D238" s="12">
        <v>932688111</v>
      </c>
    </row>
    <row r="239" spans="1:4" ht="15.75" hidden="1" x14ac:dyDescent="0.25">
      <c r="A239" s="9" t="s">
        <v>1174</v>
      </c>
      <c r="B239" s="9" t="s">
        <v>769</v>
      </c>
      <c r="C239" s="9" t="s">
        <v>1213</v>
      </c>
      <c r="D239" s="12">
        <v>326660072</v>
      </c>
    </row>
    <row r="240" spans="1:4" ht="15.75" hidden="1" x14ac:dyDescent="0.25">
      <c r="A240" s="9" t="s">
        <v>1164</v>
      </c>
      <c r="B240" s="9" t="s">
        <v>770</v>
      </c>
      <c r="C240" s="9" t="s">
        <v>1213</v>
      </c>
      <c r="D240" s="12">
        <v>939999686</v>
      </c>
    </row>
    <row r="241" spans="1:4" ht="15.75" hidden="1" x14ac:dyDescent="0.25">
      <c r="A241" s="9" t="s">
        <v>1041</v>
      </c>
      <c r="B241" s="9" t="s">
        <v>771</v>
      </c>
      <c r="C241" s="9" t="s">
        <v>1213</v>
      </c>
      <c r="D241" s="12" t="s">
        <v>275</v>
      </c>
    </row>
    <row r="242" spans="1:4" ht="15.75" hidden="1" x14ac:dyDescent="0.25">
      <c r="A242" s="9" t="s">
        <v>1171</v>
      </c>
      <c r="B242" s="9" t="s">
        <v>772</v>
      </c>
      <c r="C242" s="9" t="s">
        <v>1213</v>
      </c>
      <c r="D242" s="12">
        <v>907892579</v>
      </c>
    </row>
    <row r="243" spans="1:4" ht="15.75" hidden="1" x14ac:dyDescent="0.25">
      <c r="A243" s="9" t="s">
        <v>1045</v>
      </c>
      <c r="B243" s="9" t="s">
        <v>773</v>
      </c>
      <c r="C243" s="9" t="s">
        <v>1213</v>
      </c>
      <c r="D243" s="12">
        <v>913148491</v>
      </c>
    </row>
    <row r="244" spans="1:4" ht="15.75" hidden="1" x14ac:dyDescent="0.25">
      <c r="A244" s="9" t="s">
        <v>1178</v>
      </c>
      <c r="B244" s="9" t="s">
        <v>774</v>
      </c>
      <c r="C244" s="9" t="s">
        <v>1213</v>
      </c>
      <c r="D244" s="12">
        <v>939999686</v>
      </c>
    </row>
    <row r="245" spans="1:4" ht="15.75" hidden="1" x14ac:dyDescent="0.25">
      <c r="A245" s="9" t="s">
        <v>1193</v>
      </c>
      <c r="B245" s="9" t="s">
        <v>775</v>
      </c>
      <c r="C245" s="9" t="s">
        <v>1213</v>
      </c>
      <c r="D245" s="12">
        <v>918655888</v>
      </c>
    </row>
    <row r="246" spans="1:4" ht="15.75" hidden="1" x14ac:dyDescent="0.25">
      <c r="A246" s="9" t="s">
        <v>1220</v>
      </c>
      <c r="B246" s="9" t="s">
        <v>776</v>
      </c>
      <c r="C246" s="9" t="s">
        <v>1213</v>
      </c>
      <c r="D246" s="12">
        <v>938881801</v>
      </c>
    </row>
    <row r="247" spans="1:4" ht="15.75" hidden="1" x14ac:dyDescent="0.25">
      <c r="A247" s="9" t="s">
        <v>1227</v>
      </c>
      <c r="B247" s="9" t="s">
        <v>777</v>
      </c>
      <c r="C247" s="9" t="s">
        <v>1213</v>
      </c>
      <c r="D247" s="12">
        <v>908037735</v>
      </c>
    </row>
    <row r="248" spans="1:4" ht="15.75" hidden="1" x14ac:dyDescent="0.25">
      <c r="A248" s="9" t="s">
        <v>1225</v>
      </c>
      <c r="B248" s="9" t="s">
        <v>778</v>
      </c>
      <c r="C248" s="9" t="s">
        <v>1213</v>
      </c>
      <c r="D248" s="12">
        <v>938881801</v>
      </c>
    </row>
    <row r="249" spans="1:4" ht="15.75" hidden="1" x14ac:dyDescent="0.25">
      <c r="A249" s="9" t="s">
        <v>1226</v>
      </c>
      <c r="B249" s="9" t="s">
        <v>779</v>
      </c>
      <c r="C249" s="9" t="s">
        <v>1213</v>
      </c>
      <c r="D249" s="12">
        <v>903661322</v>
      </c>
    </row>
    <row r="250" spans="1:4" ht="15.75" hidden="1" x14ac:dyDescent="0.25">
      <c r="A250" s="9" t="s">
        <v>1246</v>
      </c>
      <c r="B250" s="9" t="s">
        <v>780</v>
      </c>
      <c r="C250" s="9" t="s">
        <v>1213</v>
      </c>
      <c r="D250" s="12">
        <v>987590707</v>
      </c>
    </row>
    <row r="251" spans="1:4" ht="15.75" hidden="1" x14ac:dyDescent="0.25">
      <c r="A251" s="9" t="s">
        <v>1230</v>
      </c>
      <c r="B251" s="9" t="s">
        <v>781</v>
      </c>
      <c r="C251" s="9" t="s">
        <v>1213</v>
      </c>
      <c r="D251" s="12">
        <v>903637469</v>
      </c>
    </row>
    <row r="252" spans="1:4" ht="15.75" hidden="1" x14ac:dyDescent="0.25">
      <c r="A252" s="9" t="s">
        <v>1250</v>
      </c>
      <c r="B252" s="9" t="s">
        <v>782</v>
      </c>
      <c r="C252" s="9" t="s">
        <v>1213</v>
      </c>
      <c r="D252" s="12">
        <v>913229498</v>
      </c>
    </row>
    <row r="253" spans="1:4" ht="15.75" hidden="1" x14ac:dyDescent="0.25">
      <c r="A253" s="9" t="s">
        <v>1249</v>
      </c>
      <c r="B253" s="9" t="s">
        <v>783</v>
      </c>
      <c r="C253" s="9" t="s">
        <v>1213</v>
      </c>
      <c r="D253" s="12">
        <v>936233570</v>
      </c>
    </row>
    <row r="254" spans="1:4" ht="15.75" hidden="1" x14ac:dyDescent="0.25">
      <c r="A254" s="9" t="s">
        <v>1256</v>
      </c>
      <c r="B254" s="9" t="s">
        <v>784</v>
      </c>
      <c r="C254" s="9" t="s">
        <v>1213</v>
      </c>
      <c r="D254" s="12">
        <v>334811778</v>
      </c>
    </row>
    <row r="255" spans="1:4" ht="15.75" hidden="1" x14ac:dyDescent="0.25">
      <c r="A255" s="9" t="s">
        <v>975</v>
      </c>
      <c r="B255" s="9" t="s">
        <v>785</v>
      </c>
      <c r="C255" s="9" t="s">
        <v>1213</v>
      </c>
      <c r="D255" s="12">
        <v>933982459</v>
      </c>
    </row>
    <row r="256" spans="1:4" ht="15.75" hidden="1" x14ac:dyDescent="0.25">
      <c r="A256" s="9" t="s">
        <v>1215</v>
      </c>
      <c r="B256" s="9" t="s">
        <v>786</v>
      </c>
      <c r="C256" s="9" t="s">
        <v>1213</v>
      </c>
      <c r="D256" s="12">
        <v>903752809</v>
      </c>
    </row>
    <row r="257" spans="1:4" ht="15.75" hidden="1" x14ac:dyDescent="0.25">
      <c r="A257" s="9" t="s">
        <v>1276</v>
      </c>
      <c r="B257" s="9" t="s">
        <v>787</v>
      </c>
      <c r="C257" s="9" t="s">
        <v>1213</v>
      </c>
      <c r="D257" s="12">
        <v>906634009</v>
      </c>
    </row>
    <row r="258" spans="1:4" ht="15.75" hidden="1" x14ac:dyDescent="0.25">
      <c r="A258" s="9" t="s">
        <v>1022</v>
      </c>
      <c r="B258" s="9" t="s">
        <v>788</v>
      </c>
      <c r="C258" s="9" t="s">
        <v>1213</v>
      </c>
      <c r="D258" s="12">
        <v>902515209</v>
      </c>
    </row>
    <row r="259" spans="1:4" ht="15.75" hidden="1" x14ac:dyDescent="0.25">
      <c r="A259" s="9" t="s">
        <v>1207</v>
      </c>
      <c r="B259" s="9" t="s">
        <v>789</v>
      </c>
      <c r="C259" s="9" t="s">
        <v>1213</v>
      </c>
      <c r="D259" s="12">
        <v>765153372</v>
      </c>
    </row>
    <row r="260" spans="1:4" ht="15.75" hidden="1" x14ac:dyDescent="0.25">
      <c r="A260" s="9" t="s">
        <v>1019</v>
      </c>
      <c r="B260" s="9" t="s">
        <v>790</v>
      </c>
      <c r="C260" s="9" t="s">
        <v>1213</v>
      </c>
      <c r="D260" s="12">
        <v>905663494</v>
      </c>
    </row>
    <row r="261" spans="1:4" ht="15.75" x14ac:dyDescent="0.25">
      <c r="A261" s="9" t="s">
        <v>915</v>
      </c>
      <c r="B261" s="9" t="s">
        <v>791</v>
      </c>
      <c r="C261" s="9" t="s">
        <v>1212</v>
      </c>
      <c r="D261" s="12">
        <v>862523366</v>
      </c>
    </row>
    <row r="262" spans="1:4" ht="15.75" hidden="1" x14ac:dyDescent="0.25">
      <c r="A262" s="9" t="s">
        <v>1079</v>
      </c>
      <c r="B262" s="9" t="s">
        <v>792</v>
      </c>
      <c r="C262" s="9" t="s">
        <v>1213</v>
      </c>
      <c r="D262" s="12">
        <v>948389399</v>
      </c>
    </row>
    <row r="263" spans="1:4" ht="15.75" hidden="1" x14ac:dyDescent="0.25">
      <c r="A263" s="9" t="s">
        <v>1257</v>
      </c>
      <c r="B263" s="9" t="s">
        <v>793</v>
      </c>
      <c r="C263" s="9" t="s">
        <v>1213</v>
      </c>
      <c r="D263" s="12">
        <v>985776161</v>
      </c>
    </row>
    <row r="264" spans="1:4" ht="15.75" hidden="1" x14ac:dyDescent="0.25">
      <c r="A264" s="9" t="s">
        <v>922</v>
      </c>
      <c r="B264" s="9" t="s">
        <v>794</v>
      </c>
      <c r="C264" s="9" t="s">
        <v>1213</v>
      </c>
      <c r="D264" s="12">
        <v>363531994</v>
      </c>
    </row>
    <row r="265" spans="1:4" ht="15.75" hidden="1" x14ac:dyDescent="0.25">
      <c r="A265" s="9" t="s">
        <v>1261</v>
      </c>
      <c r="B265" s="9" t="s">
        <v>795</v>
      </c>
      <c r="C265" s="9" t="s">
        <v>1213</v>
      </c>
      <c r="D265" s="12">
        <v>901298538</v>
      </c>
    </row>
    <row r="266" spans="1:4" ht="15.75" x14ac:dyDescent="0.25">
      <c r="A266" s="9" t="s">
        <v>1228</v>
      </c>
      <c r="B266" s="9" t="s">
        <v>796</v>
      </c>
      <c r="C266" s="9" t="s">
        <v>1212</v>
      </c>
      <c r="D266" s="12">
        <v>945637396</v>
      </c>
    </row>
    <row r="267" spans="1:4" ht="15.75" hidden="1" x14ac:dyDescent="0.25">
      <c r="A267" s="9" t="s">
        <v>903</v>
      </c>
      <c r="B267" s="9" t="s">
        <v>797</v>
      </c>
      <c r="C267" s="9" t="s">
        <v>1213</v>
      </c>
      <c r="D267" s="12">
        <v>936973973</v>
      </c>
    </row>
    <row r="268" spans="1:4" ht="15.75" x14ac:dyDescent="0.25">
      <c r="A268" s="9" t="s">
        <v>1110</v>
      </c>
      <c r="B268" s="9" t="s">
        <v>798</v>
      </c>
      <c r="C268" s="9" t="s">
        <v>1212</v>
      </c>
      <c r="D268" s="12">
        <v>822241666</v>
      </c>
    </row>
    <row r="269" spans="1:4" ht="15.75" hidden="1" x14ac:dyDescent="0.25">
      <c r="A269" s="9" t="s">
        <v>912</v>
      </c>
      <c r="B269" s="9" t="s">
        <v>799</v>
      </c>
      <c r="C269" s="9" t="s">
        <v>1213</v>
      </c>
      <c r="D269" s="12">
        <v>908231328</v>
      </c>
    </row>
    <row r="270" spans="1:4" ht="15.75" hidden="1" x14ac:dyDescent="0.25">
      <c r="A270" s="9" t="s">
        <v>901</v>
      </c>
      <c r="B270" s="9" t="s">
        <v>800</v>
      </c>
      <c r="C270" s="9" t="s">
        <v>1213</v>
      </c>
      <c r="D270" s="12">
        <v>903336074</v>
      </c>
    </row>
    <row r="271" spans="1:4" ht="15.75" hidden="1" x14ac:dyDescent="0.25">
      <c r="A271" s="9" t="s">
        <v>1160</v>
      </c>
      <c r="B271" s="9" t="s">
        <v>801</v>
      </c>
      <c r="C271" s="9" t="s">
        <v>1213</v>
      </c>
      <c r="D271" s="12">
        <v>775689898</v>
      </c>
    </row>
    <row r="272" spans="1:4" ht="15.75" hidden="1" x14ac:dyDescent="0.25">
      <c r="A272" s="9" t="s">
        <v>909</v>
      </c>
      <c r="B272" s="9" t="s">
        <v>802</v>
      </c>
      <c r="C272" s="9" t="s">
        <v>1213</v>
      </c>
      <c r="D272" s="12" t="s">
        <v>275</v>
      </c>
    </row>
    <row r="273" spans="1:4" ht="15.75" hidden="1" x14ac:dyDescent="0.25">
      <c r="A273" s="9" t="s">
        <v>927</v>
      </c>
      <c r="B273" s="9" t="s">
        <v>803</v>
      </c>
      <c r="C273" s="9" t="s">
        <v>1213</v>
      </c>
      <c r="D273" s="12">
        <v>904012899</v>
      </c>
    </row>
    <row r="274" spans="1:4" ht="15.75" hidden="1" x14ac:dyDescent="0.25">
      <c r="A274" s="9" t="s">
        <v>1179</v>
      </c>
      <c r="B274" s="9" t="s">
        <v>804</v>
      </c>
      <c r="C274" s="9" t="s">
        <v>1213</v>
      </c>
      <c r="D274" s="12">
        <v>976080096</v>
      </c>
    </row>
    <row r="275" spans="1:4" ht="15.75" hidden="1" x14ac:dyDescent="0.25">
      <c r="A275" s="9" t="s">
        <v>920</v>
      </c>
      <c r="B275" s="9" t="s">
        <v>805</v>
      </c>
      <c r="C275" s="9" t="s">
        <v>1213</v>
      </c>
      <c r="D275" s="12">
        <v>822000999</v>
      </c>
    </row>
    <row r="276" spans="1:4" ht="15.75" hidden="1" x14ac:dyDescent="0.25">
      <c r="A276" s="9" t="s">
        <v>1176</v>
      </c>
      <c r="B276" s="9" t="s">
        <v>806</v>
      </c>
      <c r="C276" s="9" t="s">
        <v>1213</v>
      </c>
      <c r="D276" s="12">
        <v>869852100</v>
      </c>
    </row>
    <row r="277" spans="1:4" ht="15.75" hidden="1" x14ac:dyDescent="0.25">
      <c r="A277" s="9" t="s">
        <v>935</v>
      </c>
      <c r="B277" s="9" t="s">
        <v>807</v>
      </c>
      <c r="C277" s="9" t="s">
        <v>1213</v>
      </c>
      <c r="D277" s="12" t="s">
        <v>275</v>
      </c>
    </row>
    <row r="278" spans="1:4" ht="15.75" hidden="1" x14ac:dyDescent="0.25">
      <c r="A278" s="9" t="s">
        <v>1231</v>
      </c>
      <c r="B278" s="9" t="s">
        <v>808</v>
      </c>
      <c r="C278" s="9" t="s">
        <v>1213</v>
      </c>
      <c r="D278" s="12">
        <v>968903468</v>
      </c>
    </row>
    <row r="279" spans="1:4" ht="15.75" hidden="1" x14ac:dyDescent="0.25">
      <c r="A279" s="9" t="s">
        <v>1242</v>
      </c>
      <c r="B279" s="9" t="s">
        <v>809</v>
      </c>
      <c r="C279" s="9" t="s">
        <v>1213</v>
      </c>
      <c r="D279" s="12">
        <v>919943919</v>
      </c>
    </row>
    <row r="280" spans="1:4" ht="15.75" hidden="1" x14ac:dyDescent="0.25">
      <c r="A280" s="9" t="s">
        <v>958</v>
      </c>
      <c r="B280" s="9" t="s">
        <v>810</v>
      </c>
      <c r="C280" s="9" t="s">
        <v>1213</v>
      </c>
      <c r="D280" s="12">
        <v>912175178</v>
      </c>
    </row>
    <row r="281" spans="1:4" ht="15.75" hidden="1" x14ac:dyDescent="0.25">
      <c r="A281" s="9" t="s">
        <v>980</v>
      </c>
      <c r="B281" s="9" t="s">
        <v>811</v>
      </c>
      <c r="C281" s="9" t="s">
        <v>1213</v>
      </c>
      <c r="D281" s="12" t="s">
        <v>275</v>
      </c>
    </row>
    <row r="282" spans="1:4" ht="15.75" hidden="1" x14ac:dyDescent="0.25">
      <c r="A282" s="9" t="s">
        <v>984</v>
      </c>
      <c r="B282" s="9" t="s">
        <v>812</v>
      </c>
      <c r="C282" s="9" t="s">
        <v>1213</v>
      </c>
      <c r="D282" s="12">
        <v>918028173</v>
      </c>
    </row>
    <row r="283" spans="1:4" ht="15.75" hidden="1" x14ac:dyDescent="0.25">
      <c r="A283" s="9" t="s">
        <v>963</v>
      </c>
      <c r="B283" s="9" t="s">
        <v>813</v>
      </c>
      <c r="C283" s="9" t="s">
        <v>1213</v>
      </c>
      <c r="D283" s="12">
        <v>932681388</v>
      </c>
    </row>
    <row r="284" spans="1:4" ht="15.75" x14ac:dyDescent="0.25">
      <c r="A284" s="9" t="s">
        <v>989</v>
      </c>
      <c r="B284" s="9" t="s">
        <v>814</v>
      </c>
      <c r="C284" s="9" t="s">
        <v>1212</v>
      </c>
      <c r="D284" s="12">
        <v>873006238</v>
      </c>
    </row>
    <row r="285" spans="1:4" ht="15.75" hidden="1" x14ac:dyDescent="0.25">
      <c r="A285" s="9" t="s">
        <v>1025</v>
      </c>
      <c r="B285" s="9" t="s">
        <v>815</v>
      </c>
      <c r="C285" s="9" t="s">
        <v>1213</v>
      </c>
      <c r="D285" s="12">
        <v>838119551</v>
      </c>
    </row>
    <row r="286" spans="1:4" ht="15.75" hidden="1" x14ac:dyDescent="0.25">
      <c r="A286" s="9" t="s">
        <v>1000</v>
      </c>
      <c r="B286" s="9" t="s">
        <v>816</v>
      </c>
      <c r="C286" s="9" t="s">
        <v>1213</v>
      </c>
      <c r="D286" s="12" t="s">
        <v>275</v>
      </c>
    </row>
    <row r="287" spans="1:4" ht="15.75" x14ac:dyDescent="0.25">
      <c r="A287" s="9" t="s">
        <v>1005</v>
      </c>
      <c r="B287" s="9" t="s">
        <v>817</v>
      </c>
      <c r="C287" s="9" t="s">
        <v>1212</v>
      </c>
      <c r="D287" s="12" t="s">
        <v>275</v>
      </c>
    </row>
    <row r="288" spans="1:4" ht="15.75" x14ac:dyDescent="0.25">
      <c r="A288" s="9" t="s">
        <v>1032</v>
      </c>
      <c r="B288" s="9" t="s">
        <v>818</v>
      </c>
      <c r="C288" s="9" t="s">
        <v>1212</v>
      </c>
      <c r="D288" s="12">
        <v>839972138</v>
      </c>
    </row>
    <row r="289" spans="1:4" ht="15.75" hidden="1" x14ac:dyDescent="0.25">
      <c r="A289" s="9" t="s">
        <v>1035</v>
      </c>
      <c r="B289" s="9" t="s">
        <v>819</v>
      </c>
      <c r="C289" s="9" t="s">
        <v>1213</v>
      </c>
      <c r="D289" s="12" t="s">
        <v>275</v>
      </c>
    </row>
    <row r="290" spans="1:4" ht="15.75" hidden="1" x14ac:dyDescent="0.25">
      <c r="A290" s="9" t="s">
        <v>885</v>
      </c>
      <c r="B290" s="9" t="s">
        <v>820</v>
      </c>
      <c r="C290" s="9" t="s">
        <v>1213</v>
      </c>
      <c r="D290" s="12">
        <v>979797932</v>
      </c>
    </row>
    <row r="291" spans="1:4" ht="15.75" hidden="1" x14ac:dyDescent="0.25">
      <c r="A291" s="9" t="s">
        <v>1056</v>
      </c>
      <c r="B291" s="9" t="s">
        <v>821</v>
      </c>
      <c r="C291" s="9" t="s">
        <v>1213</v>
      </c>
      <c r="D291" s="12">
        <v>543827740</v>
      </c>
    </row>
    <row r="292" spans="1:4" ht="15.75" hidden="1" x14ac:dyDescent="0.25">
      <c r="A292" s="9" t="s">
        <v>894</v>
      </c>
      <c r="B292" s="9" t="s">
        <v>822</v>
      </c>
      <c r="C292" s="9" t="s">
        <v>1213</v>
      </c>
      <c r="D292" s="12">
        <v>908025472</v>
      </c>
    </row>
    <row r="293" spans="1:4" ht="15.75" hidden="1" x14ac:dyDescent="0.25">
      <c r="A293" s="9" t="s">
        <v>1063</v>
      </c>
      <c r="B293" s="9" t="s">
        <v>823</v>
      </c>
      <c r="C293" s="9" t="s">
        <v>1213</v>
      </c>
      <c r="D293" s="12">
        <v>989086855</v>
      </c>
    </row>
    <row r="294" spans="1:4" ht="15.75" hidden="1" x14ac:dyDescent="0.25">
      <c r="A294" s="9" t="s">
        <v>899</v>
      </c>
      <c r="B294" s="9" t="s">
        <v>824</v>
      </c>
      <c r="C294" s="9" t="s">
        <v>1213</v>
      </c>
      <c r="D294" s="12">
        <v>938933618</v>
      </c>
    </row>
    <row r="295" spans="1:4" ht="15.75" x14ac:dyDescent="0.25">
      <c r="A295" s="9" t="s">
        <v>1055</v>
      </c>
      <c r="B295" s="9" t="s">
        <v>825</v>
      </c>
      <c r="C295" s="9" t="s">
        <v>1212</v>
      </c>
      <c r="D295" s="12">
        <v>723821501</v>
      </c>
    </row>
    <row r="296" spans="1:4" ht="15.75" hidden="1" x14ac:dyDescent="0.25">
      <c r="A296" s="9" t="s">
        <v>1074</v>
      </c>
      <c r="B296" s="9" t="s">
        <v>826</v>
      </c>
      <c r="C296" s="9" t="s">
        <v>1213</v>
      </c>
      <c r="D296" s="12">
        <v>913921627</v>
      </c>
    </row>
    <row r="297" spans="1:4" ht="15.75" hidden="1" x14ac:dyDescent="0.25">
      <c r="A297" s="9" t="s">
        <v>924</v>
      </c>
      <c r="B297" s="9" t="s">
        <v>827</v>
      </c>
      <c r="C297" s="9" t="s">
        <v>1213</v>
      </c>
      <c r="D297" s="12">
        <v>933241180</v>
      </c>
    </row>
    <row r="298" spans="1:4" ht="15.75" hidden="1" x14ac:dyDescent="0.25">
      <c r="A298" s="9" t="s">
        <v>1066</v>
      </c>
      <c r="B298" s="9" t="s">
        <v>828</v>
      </c>
      <c r="C298" s="9" t="s">
        <v>1213</v>
      </c>
      <c r="D298" s="12">
        <v>915969869</v>
      </c>
    </row>
    <row r="299" spans="1:4" ht="15.75" hidden="1" x14ac:dyDescent="0.25">
      <c r="A299" s="9" t="s">
        <v>932</v>
      </c>
      <c r="B299" s="9" t="s">
        <v>829</v>
      </c>
      <c r="C299" s="9" t="s">
        <v>1213</v>
      </c>
      <c r="D299" s="12">
        <v>909522154</v>
      </c>
    </row>
    <row r="300" spans="1:4" ht="15.75" hidden="1" x14ac:dyDescent="0.25">
      <c r="A300" s="9" t="s">
        <v>941</v>
      </c>
      <c r="B300" s="9" t="s">
        <v>830</v>
      </c>
      <c r="C300" s="9" t="s">
        <v>1213</v>
      </c>
      <c r="D300" s="12">
        <v>903300119</v>
      </c>
    </row>
    <row r="301" spans="1:4" ht="15.75" hidden="1" x14ac:dyDescent="0.25">
      <c r="A301" s="9" t="s">
        <v>1103</v>
      </c>
      <c r="B301" s="9" t="s">
        <v>831</v>
      </c>
      <c r="C301" s="9" t="s">
        <v>1213</v>
      </c>
      <c r="D301" s="12">
        <v>938492260</v>
      </c>
    </row>
    <row r="302" spans="1:4" ht="15.75" hidden="1" x14ac:dyDescent="0.25">
      <c r="A302" s="9" t="s">
        <v>942</v>
      </c>
      <c r="B302" s="9" t="s">
        <v>832</v>
      </c>
      <c r="C302" s="9" t="s">
        <v>1213</v>
      </c>
      <c r="D302" s="12">
        <v>903699307</v>
      </c>
    </row>
    <row r="303" spans="1:4" ht="15.75" hidden="1" x14ac:dyDescent="0.25">
      <c r="A303" s="9" t="s">
        <v>948</v>
      </c>
      <c r="B303" s="9" t="s">
        <v>833</v>
      </c>
      <c r="C303" s="9" t="s">
        <v>1213</v>
      </c>
      <c r="D303" s="12">
        <v>903880605</v>
      </c>
    </row>
    <row r="304" spans="1:4" ht="15.75" hidden="1" x14ac:dyDescent="0.25">
      <c r="A304" s="9" t="s">
        <v>1114</v>
      </c>
      <c r="B304" s="9" t="s">
        <v>834</v>
      </c>
      <c r="C304" s="9" t="s">
        <v>1213</v>
      </c>
      <c r="D304" s="12">
        <v>918716288</v>
      </c>
    </row>
    <row r="305" spans="1:4" ht="15.75" hidden="1" x14ac:dyDescent="0.25">
      <c r="A305" s="9" t="s">
        <v>956</v>
      </c>
      <c r="B305" s="9" t="s">
        <v>835</v>
      </c>
      <c r="C305" s="9" t="s">
        <v>1213</v>
      </c>
      <c r="D305" s="12">
        <v>913900557</v>
      </c>
    </row>
    <row r="306" spans="1:4" ht="15.75" hidden="1" x14ac:dyDescent="0.25">
      <c r="A306" s="9" t="s">
        <v>1105</v>
      </c>
      <c r="B306" s="9" t="s">
        <v>836</v>
      </c>
      <c r="C306" s="9" t="s">
        <v>1213</v>
      </c>
      <c r="D306" s="12">
        <v>909522154</v>
      </c>
    </row>
    <row r="307" spans="1:4" ht="15.75" hidden="1" x14ac:dyDescent="0.25">
      <c r="A307" s="9" t="s">
        <v>1002</v>
      </c>
      <c r="B307" s="9" t="s">
        <v>837</v>
      </c>
      <c r="C307" s="9" t="s">
        <v>1213</v>
      </c>
      <c r="D307" s="12" t="s">
        <v>275</v>
      </c>
    </row>
    <row r="308" spans="1:4" ht="15.75" hidden="1" x14ac:dyDescent="0.25">
      <c r="A308" s="9" t="s">
        <v>1107</v>
      </c>
      <c r="B308" s="9" t="s">
        <v>838</v>
      </c>
      <c r="C308" s="9" t="s">
        <v>1213</v>
      </c>
      <c r="D308" s="12">
        <v>982060820</v>
      </c>
    </row>
    <row r="309" spans="1:4" ht="15.75" hidden="1" x14ac:dyDescent="0.25">
      <c r="A309" s="9" t="s">
        <v>992</v>
      </c>
      <c r="B309" s="9" t="s">
        <v>839</v>
      </c>
      <c r="C309" s="9" t="s">
        <v>1213</v>
      </c>
      <c r="D309" s="12">
        <v>913645217</v>
      </c>
    </row>
    <row r="310" spans="1:4" ht="15.75" hidden="1" x14ac:dyDescent="0.25">
      <c r="A310" s="9" t="s">
        <v>1210</v>
      </c>
      <c r="B310" s="9" t="s">
        <v>840</v>
      </c>
      <c r="C310" s="9" t="s">
        <v>1213</v>
      </c>
      <c r="D310" s="12">
        <v>838228877</v>
      </c>
    </row>
    <row r="311" spans="1:4" ht="15.75" hidden="1" x14ac:dyDescent="0.25">
      <c r="A311" s="9" t="s">
        <v>1010</v>
      </c>
      <c r="B311" s="9" t="s">
        <v>841</v>
      </c>
      <c r="C311" s="9" t="s">
        <v>1213</v>
      </c>
      <c r="D311" s="12">
        <v>909120663</v>
      </c>
    </row>
    <row r="312" spans="1:4" ht="15.75" hidden="1" x14ac:dyDescent="0.25">
      <c r="A312" s="9" t="s">
        <v>1138</v>
      </c>
      <c r="B312" s="9" t="s">
        <v>842</v>
      </c>
      <c r="C312" s="9" t="s">
        <v>1213</v>
      </c>
      <c r="D312" s="12">
        <v>983671562</v>
      </c>
    </row>
    <row r="313" spans="1:4" ht="15.75" x14ac:dyDescent="0.25">
      <c r="A313" s="9" t="s">
        <v>1001</v>
      </c>
      <c r="B313" s="9" t="s">
        <v>843</v>
      </c>
      <c r="C313" s="9" t="s">
        <v>1212</v>
      </c>
      <c r="D313" s="12">
        <v>854495117</v>
      </c>
    </row>
    <row r="314" spans="1:4" ht="15.75" hidden="1" x14ac:dyDescent="0.25">
      <c r="A314" s="9" t="s">
        <v>1127</v>
      </c>
      <c r="B314" s="9" t="s">
        <v>844</v>
      </c>
      <c r="C314" s="9" t="s">
        <v>1213</v>
      </c>
      <c r="D314" s="12">
        <v>903948264</v>
      </c>
    </row>
    <row r="315" spans="1:4" ht="15.75" x14ac:dyDescent="0.25">
      <c r="A315" s="9" t="s">
        <v>1003</v>
      </c>
      <c r="B315" s="9" t="s">
        <v>845</v>
      </c>
      <c r="C315" s="9" t="s">
        <v>1212</v>
      </c>
      <c r="D315" s="12">
        <v>979646467</v>
      </c>
    </row>
    <row r="316" spans="1:4" ht="15.75" hidden="1" x14ac:dyDescent="0.25">
      <c r="A316" s="9" t="s">
        <v>1161</v>
      </c>
      <c r="B316" s="9" t="s">
        <v>846</v>
      </c>
      <c r="C316" s="9" t="s">
        <v>1213</v>
      </c>
      <c r="D316" s="12">
        <v>912010660</v>
      </c>
    </row>
    <row r="317" spans="1:4" ht="15.75" hidden="1" x14ac:dyDescent="0.25">
      <c r="A317" s="9" t="s">
        <v>1017</v>
      </c>
      <c r="B317" s="9" t="s">
        <v>847</v>
      </c>
      <c r="C317" s="9" t="s">
        <v>1213</v>
      </c>
      <c r="D317" s="12">
        <v>918158427</v>
      </c>
    </row>
    <row r="318" spans="1:4" ht="15.75" hidden="1" x14ac:dyDescent="0.25">
      <c r="A318" s="9" t="s">
        <v>1134</v>
      </c>
      <c r="B318" s="9" t="s">
        <v>848</v>
      </c>
      <c r="C318" s="9" t="s">
        <v>1213</v>
      </c>
      <c r="D318" s="12">
        <v>903002279</v>
      </c>
    </row>
    <row r="319" spans="1:4" ht="15.75" hidden="1" x14ac:dyDescent="0.25">
      <c r="A319" s="9" t="s">
        <v>1152</v>
      </c>
      <c r="B319" s="9" t="s">
        <v>849</v>
      </c>
      <c r="C319" s="9" t="s">
        <v>1213</v>
      </c>
      <c r="D319" s="12">
        <v>918118077</v>
      </c>
    </row>
    <row r="320" spans="1:4" ht="15.75" hidden="1" x14ac:dyDescent="0.25">
      <c r="A320" s="9" t="s">
        <v>1038</v>
      </c>
      <c r="B320" s="9" t="s">
        <v>850</v>
      </c>
      <c r="C320" s="9" t="s">
        <v>1213</v>
      </c>
      <c r="D320" s="12">
        <v>979646467</v>
      </c>
    </row>
    <row r="321" spans="1:4" ht="15.75" hidden="1" x14ac:dyDescent="0.25">
      <c r="A321" s="9" t="s">
        <v>1189</v>
      </c>
      <c r="B321" s="9" t="s">
        <v>851</v>
      </c>
      <c r="C321" s="9" t="s">
        <v>1213</v>
      </c>
      <c r="D321" s="12">
        <v>903927750</v>
      </c>
    </row>
    <row r="322" spans="1:4" ht="15.75" hidden="1" x14ac:dyDescent="0.25">
      <c r="A322" s="9" t="s">
        <v>1195</v>
      </c>
      <c r="B322" s="9" t="s">
        <v>852</v>
      </c>
      <c r="C322" s="9" t="s">
        <v>1213</v>
      </c>
      <c r="D322" s="12">
        <v>918978519</v>
      </c>
    </row>
    <row r="323" spans="1:4" ht="15.75" hidden="1" x14ac:dyDescent="0.25">
      <c r="A323" s="9" t="s">
        <v>1190</v>
      </c>
      <c r="B323" s="9" t="s">
        <v>853</v>
      </c>
      <c r="C323" s="9" t="s">
        <v>1213</v>
      </c>
      <c r="D323" s="12">
        <v>908844803</v>
      </c>
    </row>
    <row r="324" spans="1:4" ht="15.75" hidden="1" x14ac:dyDescent="0.25">
      <c r="A324" s="9" t="s">
        <v>1205</v>
      </c>
      <c r="B324" s="9" t="s">
        <v>854</v>
      </c>
      <c r="C324" s="9" t="s">
        <v>1213</v>
      </c>
      <c r="D324" s="12">
        <v>903927750</v>
      </c>
    </row>
    <row r="325" spans="1:4" ht="15.75" hidden="1" x14ac:dyDescent="0.25">
      <c r="A325" s="9" t="s">
        <v>1129</v>
      </c>
      <c r="B325" s="9" t="s">
        <v>855</v>
      </c>
      <c r="C325" s="9" t="s">
        <v>1213</v>
      </c>
      <c r="D325" s="12">
        <v>987266662</v>
      </c>
    </row>
    <row r="326" spans="1:4" ht="15.75" x14ac:dyDescent="0.25">
      <c r="A326" s="9" t="s">
        <v>893</v>
      </c>
      <c r="B326" s="9" t="s">
        <v>856</v>
      </c>
      <c r="C326" s="9" t="s">
        <v>1212</v>
      </c>
      <c r="D326" s="12">
        <v>862874460</v>
      </c>
    </row>
    <row r="327" spans="1:4" ht="15.75" hidden="1" x14ac:dyDescent="0.25">
      <c r="A327" s="9" t="s">
        <v>1148</v>
      </c>
      <c r="B327" s="9" t="s">
        <v>857</v>
      </c>
      <c r="C327" s="9" t="s">
        <v>1213</v>
      </c>
      <c r="D327" s="12">
        <v>903359666</v>
      </c>
    </row>
    <row r="328" spans="1:4" ht="15.75" hidden="1" x14ac:dyDescent="0.25">
      <c r="A328" s="9" t="s">
        <v>1165</v>
      </c>
      <c r="B328" s="9" t="s">
        <v>858</v>
      </c>
      <c r="C328" s="9" t="s">
        <v>1213</v>
      </c>
      <c r="D328" s="12">
        <v>907111199</v>
      </c>
    </row>
    <row r="329" spans="1:4" ht="15.75" hidden="1" x14ac:dyDescent="0.25">
      <c r="A329" s="9" t="s">
        <v>886</v>
      </c>
      <c r="B329" s="9" t="s">
        <v>859</v>
      </c>
      <c r="C329" s="9" t="s">
        <v>1213</v>
      </c>
      <c r="D329" s="12">
        <v>949994737</v>
      </c>
    </row>
    <row r="330" spans="1:4" ht="15.75" hidden="1" x14ac:dyDescent="0.25">
      <c r="A330" s="9" t="s">
        <v>1188</v>
      </c>
      <c r="B330" s="9" t="s">
        <v>1285</v>
      </c>
      <c r="C330" s="9" t="s">
        <v>1213</v>
      </c>
      <c r="D330" s="12">
        <v>903627266</v>
      </c>
    </row>
    <row r="331" spans="1:4" ht="15.75" hidden="1" x14ac:dyDescent="0.25">
      <c r="A331" s="9" t="s">
        <v>1233</v>
      </c>
      <c r="B331" s="9" t="s">
        <v>1286</v>
      </c>
      <c r="C331" s="9" t="s">
        <v>1213</v>
      </c>
      <c r="D331" s="12">
        <v>377636327</v>
      </c>
    </row>
    <row r="332" spans="1:4" ht="15.75" hidden="1" x14ac:dyDescent="0.25">
      <c r="A332" s="9" t="s">
        <v>887</v>
      </c>
      <c r="B332" s="9" t="s">
        <v>1287</v>
      </c>
      <c r="C332" s="9" t="s">
        <v>1213</v>
      </c>
      <c r="D332" s="12">
        <v>903916480</v>
      </c>
    </row>
    <row r="333" spans="1:4" ht="15.75" hidden="1" x14ac:dyDescent="0.25">
      <c r="A333" s="9" t="s">
        <v>1062</v>
      </c>
      <c r="B333" s="9" t="s">
        <v>1288</v>
      </c>
      <c r="C333" s="9" t="s">
        <v>1213</v>
      </c>
      <c r="D333" s="12">
        <v>903322836</v>
      </c>
    </row>
    <row r="334" spans="1:4" ht="15.75" hidden="1" x14ac:dyDescent="0.25">
      <c r="A334" s="9" t="s">
        <v>1271</v>
      </c>
      <c r="B334" s="9" t="s">
        <v>1289</v>
      </c>
      <c r="C334" s="9" t="s">
        <v>1213</v>
      </c>
      <c r="D334" s="12">
        <v>909517578</v>
      </c>
    </row>
    <row r="335" spans="1:4" ht="15.75" hidden="1" x14ac:dyDescent="0.25">
      <c r="A335" s="9" t="s">
        <v>897</v>
      </c>
      <c r="B335" s="9" t="s">
        <v>1290</v>
      </c>
      <c r="C335" s="9" t="s">
        <v>1213</v>
      </c>
      <c r="D335" s="12">
        <v>903905787</v>
      </c>
    </row>
    <row r="336" spans="1:4" ht="15.75" hidden="1" x14ac:dyDescent="0.25">
      <c r="A336" s="9" t="s">
        <v>1059</v>
      </c>
      <c r="B336" s="9" t="s">
        <v>1291</v>
      </c>
      <c r="C336" s="9" t="s">
        <v>1213</v>
      </c>
      <c r="D336" s="12">
        <v>902579666</v>
      </c>
    </row>
    <row r="337" spans="1:4" ht="15.75" hidden="1" x14ac:dyDescent="0.25">
      <c r="A337" s="9" t="s">
        <v>1173</v>
      </c>
      <c r="B337" s="9" t="s">
        <v>1292</v>
      </c>
      <c r="C337" s="9" t="s">
        <v>1213</v>
      </c>
      <c r="D337" s="12">
        <v>338149636</v>
      </c>
    </row>
    <row r="338" spans="1:4" ht="15.75" hidden="1" x14ac:dyDescent="0.25">
      <c r="A338" s="9" t="s">
        <v>902</v>
      </c>
      <c r="B338" s="9" t="s">
        <v>1293</v>
      </c>
      <c r="C338" s="9" t="s">
        <v>1213</v>
      </c>
      <c r="D338" s="12">
        <v>913675034</v>
      </c>
    </row>
    <row r="339" spans="1:4" ht="15.75" hidden="1" x14ac:dyDescent="0.25">
      <c r="A339" s="9" t="s">
        <v>1064</v>
      </c>
      <c r="B339" s="9" t="s">
        <v>1294</v>
      </c>
      <c r="C339" s="9" t="s">
        <v>1213</v>
      </c>
      <c r="D339" s="12">
        <v>354593562</v>
      </c>
    </row>
    <row r="340" spans="1:4" ht="15.75" hidden="1" x14ac:dyDescent="0.25">
      <c r="A340" s="9" t="s">
        <v>1082</v>
      </c>
      <c r="B340" s="9" t="s">
        <v>1295</v>
      </c>
      <c r="C340" s="9" t="s">
        <v>1213</v>
      </c>
      <c r="D340" s="12">
        <v>903905787</v>
      </c>
    </row>
    <row r="341" spans="1:4" ht="15.75" hidden="1" x14ac:dyDescent="0.25">
      <c r="A341" s="9" t="s">
        <v>919</v>
      </c>
      <c r="B341" s="9" t="s">
        <v>1296</v>
      </c>
      <c r="C341" s="9" t="s">
        <v>1213</v>
      </c>
      <c r="D341" s="12">
        <v>937411318</v>
      </c>
    </row>
    <row r="342" spans="1:4" ht="15.75" hidden="1" x14ac:dyDescent="0.25">
      <c r="A342" s="9" t="s">
        <v>921</v>
      </c>
      <c r="B342" s="9" t="s">
        <v>1297</v>
      </c>
      <c r="C342" s="9" t="s">
        <v>1213</v>
      </c>
      <c r="D342" s="12">
        <v>918848549</v>
      </c>
    </row>
    <row r="343" spans="1:4" ht="15.75" hidden="1" x14ac:dyDescent="0.25">
      <c r="A343" s="9" t="s">
        <v>1130</v>
      </c>
      <c r="B343" s="9" t="s">
        <v>1298</v>
      </c>
      <c r="C343" s="9" t="s">
        <v>1213</v>
      </c>
      <c r="D343" s="12">
        <v>903779087</v>
      </c>
    </row>
    <row r="344" spans="1:4" ht="15.75" hidden="1" x14ac:dyDescent="0.25">
      <c r="A344" s="9" t="s">
        <v>923</v>
      </c>
      <c r="B344" s="9" t="s">
        <v>1299</v>
      </c>
      <c r="C344" s="9" t="s">
        <v>1213</v>
      </c>
      <c r="D344" s="12">
        <v>908115893</v>
      </c>
    </row>
    <row r="345" spans="1:4" ht="15.75" hidden="1" x14ac:dyDescent="0.25">
      <c r="A345" s="9" t="s">
        <v>1139</v>
      </c>
      <c r="B345" s="9" t="s">
        <v>1300</v>
      </c>
      <c r="C345" s="9" t="s">
        <v>1213</v>
      </c>
      <c r="D345" s="12">
        <v>908115893</v>
      </c>
    </row>
    <row r="346" spans="1:4" ht="15.75" hidden="1" x14ac:dyDescent="0.25">
      <c r="A346" s="9" t="s">
        <v>1167</v>
      </c>
      <c r="B346" s="9" t="s">
        <v>1301</v>
      </c>
      <c r="C346" s="9" t="s">
        <v>1213</v>
      </c>
      <c r="D346" s="12">
        <v>961988999</v>
      </c>
    </row>
    <row r="347" spans="1:4" ht="15.75" hidden="1" x14ac:dyDescent="0.25">
      <c r="A347" s="9" t="s">
        <v>930</v>
      </c>
      <c r="B347" s="9" t="s">
        <v>1302</v>
      </c>
      <c r="C347" s="9" t="s">
        <v>1213</v>
      </c>
      <c r="D347" s="12">
        <v>988650018</v>
      </c>
    </row>
    <row r="348" spans="1:4" ht="15.75" hidden="1" x14ac:dyDescent="0.25">
      <c r="A348" s="9" t="s">
        <v>1187</v>
      </c>
      <c r="B348" s="9" t="s">
        <v>1303</v>
      </c>
      <c r="C348" s="9" t="s">
        <v>1213</v>
      </c>
      <c r="D348" s="12">
        <v>903933383</v>
      </c>
    </row>
    <row r="349" spans="1:4" ht="15.75" hidden="1" x14ac:dyDescent="0.25">
      <c r="A349" s="9" t="s">
        <v>931</v>
      </c>
      <c r="B349" s="9" t="s">
        <v>1304</v>
      </c>
      <c r="C349" s="9" t="s">
        <v>1213</v>
      </c>
      <c r="D349" s="12">
        <v>904779659</v>
      </c>
    </row>
    <row r="350" spans="1:4" ht="15.75" hidden="1" x14ac:dyDescent="0.25">
      <c r="A350" s="9" t="s">
        <v>1177</v>
      </c>
      <c r="B350" s="9" t="s">
        <v>1305</v>
      </c>
      <c r="C350" s="9" t="s">
        <v>1213</v>
      </c>
      <c r="D350" s="12">
        <v>903679864</v>
      </c>
    </row>
    <row r="351" spans="1:4" ht="15.75" hidden="1" x14ac:dyDescent="0.25">
      <c r="A351" s="9" t="s">
        <v>957</v>
      </c>
      <c r="B351" s="9" t="s">
        <v>1306</v>
      </c>
      <c r="C351" s="9" t="s">
        <v>1213</v>
      </c>
      <c r="D351" s="12">
        <v>903383171</v>
      </c>
    </row>
    <row r="352" spans="1:4" ht="15.75" hidden="1" x14ac:dyDescent="0.25">
      <c r="A352" s="9" t="s">
        <v>1196</v>
      </c>
      <c r="B352" s="9" t="s">
        <v>1307</v>
      </c>
      <c r="C352" s="9" t="s">
        <v>1213</v>
      </c>
      <c r="D352" s="12">
        <v>913101513</v>
      </c>
    </row>
    <row r="353" spans="1:4" ht="15.75" hidden="1" x14ac:dyDescent="0.25">
      <c r="A353" s="9" t="s">
        <v>982</v>
      </c>
      <c r="B353" s="9" t="s">
        <v>1308</v>
      </c>
      <c r="C353" s="9" t="s">
        <v>1213</v>
      </c>
      <c r="D353" s="12">
        <v>906757246</v>
      </c>
    </row>
    <row r="354" spans="1:4" ht="15.75" hidden="1" x14ac:dyDescent="0.25">
      <c r="A354" s="9" t="s">
        <v>1197</v>
      </c>
      <c r="B354" s="9" t="s">
        <v>1309</v>
      </c>
      <c r="C354" s="9" t="s">
        <v>1213</v>
      </c>
      <c r="D354" s="12">
        <v>945771411</v>
      </c>
    </row>
    <row r="355" spans="1:4" ht="15.75" hidden="1" x14ac:dyDescent="0.25">
      <c r="A355" s="9" t="s">
        <v>997</v>
      </c>
      <c r="B355" s="9" t="s">
        <v>1310</v>
      </c>
      <c r="C355" s="9" t="s">
        <v>1213</v>
      </c>
      <c r="D355" s="12" t="s">
        <v>275</v>
      </c>
    </row>
    <row r="356" spans="1:4" ht="15.75" hidden="1" x14ac:dyDescent="0.25">
      <c r="A356" s="9" t="s">
        <v>1203</v>
      </c>
      <c r="B356" s="9" t="s">
        <v>1311</v>
      </c>
      <c r="C356" s="9" t="s">
        <v>1213</v>
      </c>
      <c r="D356" s="12">
        <v>971888878</v>
      </c>
    </row>
    <row r="357" spans="1:4" ht="15.75" hidden="1" x14ac:dyDescent="0.25">
      <c r="A357" s="9" t="s">
        <v>1008</v>
      </c>
      <c r="B357" s="9" t="s">
        <v>1312</v>
      </c>
      <c r="C357" s="9" t="s">
        <v>1213</v>
      </c>
      <c r="D357" s="12" t="s">
        <v>275</v>
      </c>
    </row>
    <row r="358" spans="1:4" ht="15.75" hidden="1" x14ac:dyDescent="0.25">
      <c r="A358" s="9" t="s">
        <v>1235</v>
      </c>
      <c r="B358" s="9" t="s">
        <v>1313</v>
      </c>
      <c r="C358" s="9" t="s">
        <v>1213</v>
      </c>
      <c r="D358" s="12">
        <v>787992457</v>
      </c>
    </row>
    <row r="359" spans="1:4" ht="15.75" hidden="1" x14ac:dyDescent="0.25">
      <c r="A359" s="9" t="s">
        <v>1024</v>
      </c>
      <c r="B359" s="9" t="s">
        <v>1314</v>
      </c>
      <c r="C359" s="9" t="s">
        <v>1213</v>
      </c>
      <c r="D359" s="12">
        <v>903814302</v>
      </c>
    </row>
    <row r="360" spans="1:4" ht="15.75" hidden="1" x14ac:dyDescent="0.25">
      <c r="A360" s="9" t="s">
        <v>1236</v>
      </c>
      <c r="B360" s="9" t="s">
        <v>1315</v>
      </c>
      <c r="C360" s="9" t="s">
        <v>1213</v>
      </c>
      <c r="D360" s="12">
        <v>903607248</v>
      </c>
    </row>
    <row r="361" spans="1:4" ht="15.75" hidden="1" x14ac:dyDescent="0.25">
      <c r="A361" s="9" t="s">
        <v>1028</v>
      </c>
      <c r="B361" s="9" t="s">
        <v>1316</v>
      </c>
      <c r="C361" s="9" t="s">
        <v>1213</v>
      </c>
      <c r="D361" s="12">
        <v>913121059</v>
      </c>
    </row>
    <row r="362" spans="1:4" ht="15.75" hidden="1" x14ac:dyDescent="0.25">
      <c r="A362" s="9" t="s">
        <v>1254</v>
      </c>
      <c r="B362" s="9" t="s">
        <v>1317</v>
      </c>
      <c r="C362" s="9" t="s">
        <v>1213</v>
      </c>
      <c r="D362" s="12">
        <v>908328278</v>
      </c>
    </row>
    <row r="363" spans="1:4" ht="15.75" x14ac:dyDescent="0.25">
      <c r="A363" s="9" t="s">
        <v>1031</v>
      </c>
      <c r="B363" s="9" t="s">
        <v>1318</v>
      </c>
      <c r="C363" s="9" t="s">
        <v>1212</v>
      </c>
      <c r="D363" s="12">
        <v>857906868</v>
      </c>
    </row>
    <row r="364" spans="1:4" ht="15.75" hidden="1" x14ac:dyDescent="0.25">
      <c r="A364" s="9" t="s">
        <v>1252</v>
      </c>
      <c r="B364" s="9" t="s">
        <v>1319</v>
      </c>
      <c r="C364" s="9" t="s">
        <v>1213</v>
      </c>
      <c r="D364" s="12">
        <v>906888681</v>
      </c>
    </row>
    <row r="365" spans="1:4" ht="15.75" hidden="1" x14ac:dyDescent="0.25">
      <c r="A365" s="9" t="s">
        <v>1039</v>
      </c>
      <c r="B365" s="9" t="s">
        <v>1320</v>
      </c>
      <c r="C365" s="9" t="s">
        <v>1213</v>
      </c>
      <c r="D365" s="12">
        <v>708597476</v>
      </c>
    </row>
    <row r="366" spans="1:4" ht="15.75" hidden="1" x14ac:dyDescent="0.25">
      <c r="A366" s="9" t="s">
        <v>1048</v>
      </c>
      <c r="B366" s="9" t="s">
        <v>1321</v>
      </c>
      <c r="C366" s="9" t="s">
        <v>1213</v>
      </c>
      <c r="D366" s="12">
        <v>932617479</v>
      </c>
    </row>
    <row r="367" spans="1:4" ht="15.75" hidden="1" x14ac:dyDescent="0.25">
      <c r="A367" s="9" t="s">
        <v>1049</v>
      </c>
      <c r="B367" s="9" t="s">
        <v>1322</v>
      </c>
      <c r="C367" s="9" t="s">
        <v>1213</v>
      </c>
      <c r="D367" s="12">
        <v>985147582</v>
      </c>
    </row>
    <row r="368" spans="1:4" ht="15.75" x14ac:dyDescent="0.25">
      <c r="A368" s="9" t="s">
        <v>906</v>
      </c>
      <c r="B368" s="9" t="s">
        <v>1323</v>
      </c>
      <c r="C368" s="9" t="s">
        <v>1212</v>
      </c>
      <c r="D368" s="12">
        <v>567399699</v>
      </c>
    </row>
    <row r="369" spans="1:4" ht="15.75" hidden="1" x14ac:dyDescent="0.25">
      <c r="A369" s="9" t="s">
        <v>1050</v>
      </c>
      <c r="B369" s="9" t="s">
        <v>1324</v>
      </c>
      <c r="C369" s="9" t="s">
        <v>1213</v>
      </c>
      <c r="D369" s="12">
        <v>902942968</v>
      </c>
    </row>
    <row r="370" spans="1:4" ht="15.75" hidden="1" x14ac:dyDescent="0.25">
      <c r="A370" s="9" t="s">
        <v>1278</v>
      </c>
      <c r="B370" s="9" t="s">
        <v>1325</v>
      </c>
      <c r="C370" s="9" t="s">
        <v>1213</v>
      </c>
      <c r="D370" s="12">
        <v>913733428</v>
      </c>
    </row>
    <row r="371" spans="1:4" ht="15.75" hidden="1" x14ac:dyDescent="0.25">
      <c r="A371" s="9" t="s">
        <v>933</v>
      </c>
      <c r="B371" s="9" t="s">
        <v>1326</v>
      </c>
      <c r="C371" s="9" t="s">
        <v>1213</v>
      </c>
      <c r="D371" s="12">
        <v>938622258</v>
      </c>
    </row>
    <row r="372" spans="1:4" ht="15.75" hidden="1" x14ac:dyDescent="0.25">
      <c r="A372" s="9" t="s">
        <v>1053</v>
      </c>
      <c r="B372" s="9" t="s">
        <v>1327</v>
      </c>
      <c r="C372" s="9" t="s">
        <v>1213</v>
      </c>
      <c r="D372" s="12">
        <v>917880188</v>
      </c>
    </row>
    <row r="373" spans="1:4" ht="15.75" hidden="1" x14ac:dyDescent="0.25">
      <c r="A373" s="9" t="s">
        <v>1277</v>
      </c>
      <c r="B373" s="9" t="s">
        <v>1328</v>
      </c>
      <c r="C373" s="9" t="s">
        <v>1213</v>
      </c>
      <c r="D373" s="12">
        <v>908195781</v>
      </c>
    </row>
    <row r="374" spans="1:4" ht="15.75" hidden="1" x14ac:dyDescent="0.25">
      <c r="A374" s="9" t="s">
        <v>937</v>
      </c>
      <c r="B374" s="9" t="s">
        <v>1329</v>
      </c>
      <c r="C374" s="9" t="s">
        <v>1213</v>
      </c>
      <c r="D374" s="12">
        <v>903787674</v>
      </c>
    </row>
    <row r="375" spans="1:4" ht="15.75" hidden="1" x14ac:dyDescent="0.25">
      <c r="A375" s="9" t="s">
        <v>1081</v>
      </c>
      <c r="B375" s="9" t="s">
        <v>1330</v>
      </c>
      <c r="C375" s="9" t="s">
        <v>1213</v>
      </c>
      <c r="D375" s="12">
        <v>903766946</v>
      </c>
    </row>
    <row r="376" spans="1:4" ht="15.75" hidden="1" x14ac:dyDescent="0.25">
      <c r="A376" s="9" t="s">
        <v>951</v>
      </c>
      <c r="B376" s="9" t="s">
        <v>1331</v>
      </c>
      <c r="C376" s="9" t="s">
        <v>1213</v>
      </c>
      <c r="D376" s="12">
        <v>372136156</v>
      </c>
    </row>
    <row r="377" spans="1:4" ht="15.75" hidden="1" x14ac:dyDescent="0.25">
      <c r="A377" s="9" t="s">
        <v>1091</v>
      </c>
      <c r="B377" s="9" t="s">
        <v>1332</v>
      </c>
      <c r="C377" s="9" t="s">
        <v>1213</v>
      </c>
      <c r="D377" s="12">
        <v>909382219</v>
      </c>
    </row>
    <row r="378" spans="1:4" ht="15.75" hidden="1" x14ac:dyDescent="0.25">
      <c r="A378" s="9" t="s">
        <v>1282</v>
      </c>
      <c r="B378" s="9" t="s">
        <v>1333</v>
      </c>
      <c r="C378" s="9" t="s">
        <v>1213</v>
      </c>
      <c r="D378" s="12">
        <v>908211239</v>
      </c>
    </row>
    <row r="379" spans="1:4" ht="15.75" hidden="1" x14ac:dyDescent="0.25">
      <c r="A379" s="9" t="s">
        <v>944</v>
      </c>
      <c r="B379" s="9" t="s">
        <v>1334</v>
      </c>
      <c r="C379" s="9" t="s">
        <v>1213</v>
      </c>
      <c r="D379" s="12">
        <v>937491111</v>
      </c>
    </row>
    <row r="380" spans="1:4" ht="15.75" hidden="1" x14ac:dyDescent="0.25">
      <c r="A380" s="9" t="s">
        <v>1087</v>
      </c>
      <c r="B380" s="9" t="s">
        <v>1335</v>
      </c>
      <c r="C380" s="9" t="s">
        <v>1213</v>
      </c>
      <c r="D380" s="12">
        <v>907659068</v>
      </c>
    </row>
    <row r="381" spans="1:4" ht="15.75" hidden="1" x14ac:dyDescent="0.25">
      <c r="A381" s="9" t="s">
        <v>959</v>
      </c>
      <c r="B381" s="9" t="s">
        <v>1336</v>
      </c>
      <c r="C381" s="9" t="s">
        <v>1213</v>
      </c>
      <c r="D381" s="12">
        <v>938092373</v>
      </c>
    </row>
    <row r="382" spans="1:4" ht="15.75" hidden="1" x14ac:dyDescent="0.25">
      <c r="A382" s="9" t="s">
        <v>1126</v>
      </c>
      <c r="B382" s="9" t="s">
        <v>1337</v>
      </c>
      <c r="C382" s="9" t="s">
        <v>1213</v>
      </c>
      <c r="D382" s="12">
        <v>909992336</v>
      </c>
    </row>
    <row r="383" spans="1:4" ht="15.75" hidden="1" x14ac:dyDescent="0.25">
      <c r="A383" s="9" t="s">
        <v>973</v>
      </c>
      <c r="B383" s="9" t="s">
        <v>1338</v>
      </c>
      <c r="C383" s="9" t="s">
        <v>1213</v>
      </c>
      <c r="D383" s="12">
        <v>908661223</v>
      </c>
    </row>
    <row r="384" spans="1:4" ht="15.75" hidden="1" x14ac:dyDescent="0.25">
      <c r="A384" s="9" t="s">
        <v>1122</v>
      </c>
      <c r="B384" s="9" t="s">
        <v>1339</v>
      </c>
      <c r="C384" s="9" t="s">
        <v>1213</v>
      </c>
      <c r="D384" s="12">
        <v>909117496</v>
      </c>
    </row>
    <row r="385" spans="1:4" ht="15.75" hidden="1" x14ac:dyDescent="0.25">
      <c r="A385" s="9" t="s">
        <v>985</v>
      </c>
      <c r="B385" s="9" t="s">
        <v>1340</v>
      </c>
      <c r="C385" s="9" t="s">
        <v>1213</v>
      </c>
      <c r="D385" s="12">
        <v>908159872</v>
      </c>
    </row>
    <row r="386" spans="1:4" ht="15.75" hidden="1" x14ac:dyDescent="0.25">
      <c r="A386" s="9" t="s">
        <v>1131</v>
      </c>
      <c r="B386" s="9" t="s">
        <v>1341</v>
      </c>
      <c r="C386" s="9" t="s">
        <v>1213</v>
      </c>
      <c r="D386" s="12">
        <v>907701400</v>
      </c>
    </row>
    <row r="387" spans="1:4" ht="15.75" hidden="1" x14ac:dyDescent="0.25">
      <c r="A387" s="9" t="s">
        <v>999</v>
      </c>
      <c r="B387" s="9" t="s">
        <v>1342</v>
      </c>
      <c r="C387" s="9" t="s">
        <v>1213</v>
      </c>
      <c r="D387" s="12">
        <v>909246358</v>
      </c>
    </row>
    <row r="388" spans="1:4" ht="15.75" hidden="1" x14ac:dyDescent="0.25">
      <c r="A388" s="9" t="s">
        <v>1133</v>
      </c>
      <c r="B388" s="9" t="s">
        <v>1343</v>
      </c>
      <c r="C388" s="9" t="s">
        <v>1213</v>
      </c>
      <c r="D388" s="12">
        <v>911972858</v>
      </c>
    </row>
    <row r="389" spans="1:4" ht="15.75" hidden="1" x14ac:dyDescent="0.25">
      <c r="A389" s="9" t="s">
        <v>1016</v>
      </c>
      <c r="B389" s="9" t="s">
        <v>1344</v>
      </c>
      <c r="C389" s="9" t="s">
        <v>1213</v>
      </c>
      <c r="D389" s="12">
        <v>908000666</v>
      </c>
    </row>
    <row r="390" spans="1:4" ht="15.75" hidden="1" x14ac:dyDescent="0.25">
      <c r="A390" s="9" t="s">
        <v>1141</v>
      </c>
      <c r="B390" s="9" t="s">
        <v>1345</v>
      </c>
      <c r="C390" s="9" t="s">
        <v>1213</v>
      </c>
      <c r="D390" s="12">
        <v>918032757</v>
      </c>
    </row>
    <row r="391" spans="1:4" ht="15.75" hidden="1" x14ac:dyDescent="0.25">
      <c r="A391" s="9" t="s">
        <v>1018</v>
      </c>
      <c r="B391" s="9" t="s">
        <v>1346</v>
      </c>
      <c r="C391" s="9" t="s">
        <v>1213</v>
      </c>
      <c r="D391" s="12">
        <v>797174732</v>
      </c>
    </row>
    <row r="392" spans="1:4" ht="15.75" hidden="1" x14ac:dyDescent="0.25">
      <c r="A392" s="9" t="s">
        <v>1159</v>
      </c>
      <c r="B392" s="9" t="s">
        <v>1347</v>
      </c>
      <c r="C392" s="9" t="s">
        <v>1213</v>
      </c>
      <c r="D392" s="12">
        <v>917423322</v>
      </c>
    </row>
    <row r="393" spans="1:4" ht="15.75" hidden="1" x14ac:dyDescent="0.25">
      <c r="A393" s="9" t="s">
        <v>1029</v>
      </c>
      <c r="B393" s="9" t="s">
        <v>1348</v>
      </c>
      <c r="C393" s="9" t="s">
        <v>1213</v>
      </c>
      <c r="D393" s="12">
        <v>927755338</v>
      </c>
    </row>
    <row r="394" spans="1:4" ht="15.75" hidden="1" x14ac:dyDescent="0.25">
      <c r="A394" s="9" t="s">
        <v>1175</v>
      </c>
      <c r="B394" s="9" t="s">
        <v>1349</v>
      </c>
      <c r="C394" s="9" t="s">
        <v>1213</v>
      </c>
      <c r="D394" s="12">
        <v>902413569</v>
      </c>
    </row>
    <row r="395" spans="1:4" ht="15.75" hidden="1" x14ac:dyDescent="0.25">
      <c r="A395" s="9" t="s">
        <v>1192</v>
      </c>
      <c r="B395" s="9" t="s">
        <v>1350</v>
      </c>
      <c r="C395" s="9" t="s">
        <v>1213</v>
      </c>
      <c r="D395" s="12">
        <v>336904230</v>
      </c>
    </row>
    <row r="396" spans="1:4" ht="15.75" hidden="1" x14ac:dyDescent="0.25">
      <c r="A396" s="9" t="s">
        <v>1216</v>
      </c>
      <c r="B396" s="9" t="s">
        <v>1351</v>
      </c>
      <c r="C396" s="9" t="s">
        <v>1213</v>
      </c>
      <c r="D396" s="12">
        <v>909261467</v>
      </c>
    </row>
    <row r="397" spans="1:4" ht="15.75" hidden="1" x14ac:dyDescent="0.25">
      <c r="A397" s="9" t="s">
        <v>1209</v>
      </c>
      <c r="B397" s="9" t="s">
        <v>1352</v>
      </c>
      <c r="C397" s="9" t="s">
        <v>1213</v>
      </c>
      <c r="D397" s="12">
        <v>918117010</v>
      </c>
    </row>
    <row r="398" spans="1:4" ht="15.75" hidden="1" x14ac:dyDescent="0.25">
      <c r="A398" s="9" t="s">
        <v>1219</v>
      </c>
      <c r="B398" s="9" t="s">
        <v>1353</v>
      </c>
      <c r="C398" s="9" t="s">
        <v>1213</v>
      </c>
      <c r="D398" s="12">
        <v>815222333</v>
      </c>
    </row>
    <row r="399" spans="1:4" ht="15.75" hidden="1" x14ac:dyDescent="0.25">
      <c r="A399" s="9" t="s">
        <v>1354</v>
      </c>
      <c r="B399" s="9" t="s">
        <v>1355</v>
      </c>
      <c r="C399" s="9" t="s">
        <v>1213</v>
      </c>
      <c r="D399" s="12">
        <v>919441108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B10A-D2BB-4584-84A2-5759C394231E}">
  <sheetPr>
    <tabColor rgb="FFFFD966"/>
  </sheetPr>
  <dimension ref="A1:H64"/>
  <sheetViews>
    <sheetView workbookViewId="0">
      <selection activeCell="D8" sqref="D8"/>
    </sheetView>
  </sheetViews>
  <sheetFormatPr defaultColWidth="8.85546875" defaultRowHeight="12.75" x14ac:dyDescent="0.2"/>
  <cols>
    <col min="1" max="1" width="11" style="5" bestFit="1" customWidth="1"/>
    <col min="2" max="2" width="19.42578125" style="5" bestFit="1" customWidth="1"/>
    <col min="3" max="3" width="14.140625" style="5" bestFit="1" customWidth="1"/>
    <col min="4" max="4" width="14.140625" style="5" customWidth="1"/>
    <col min="5" max="5" width="14.5703125" style="5" customWidth="1"/>
  </cols>
  <sheetData>
    <row r="1" spans="1:8" s="16" customFormat="1" ht="15.75" x14ac:dyDescent="0.25">
      <c r="A1" s="15" t="s">
        <v>1842</v>
      </c>
      <c r="B1" s="15" t="s">
        <v>1843</v>
      </c>
      <c r="C1" s="15" t="s">
        <v>1844</v>
      </c>
      <c r="D1" s="15" t="s">
        <v>1845</v>
      </c>
      <c r="E1" s="15" t="s">
        <v>1841</v>
      </c>
      <c r="H1" s="18"/>
    </row>
    <row r="2" spans="1:8" ht="15.75" x14ac:dyDescent="0.25">
      <c r="A2" s="6" t="s">
        <v>10</v>
      </c>
      <c r="B2" s="6" t="s">
        <v>50</v>
      </c>
      <c r="C2" s="6" t="s">
        <v>50</v>
      </c>
      <c r="D2" s="6" t="s">
        <v>1847</v>
      </c>
      <c r="E2" s="6">
        <v>30000000</v>
      </c>
      <c r="H2" s="4"/>
    </row>
    <row r="3" spans="1:8" ht="15.75" x14ac:dyDescent="0.25">
      <c r="A3" s="6" t="s">
        <v>10</v>
      </c>
      <c r="B3" s="6" t="s">
        <v>506</v>
      </c>
      <c r="C3" s="6" t="s">
        <v>506</v>
      </c>
      <c r="D3" s="6" t="s">
        <v>1847</v>
      </c>
      <c r="E3" s="6">
        <v>30000000</v>
      </c>
      <c r="H3" s="4"/>
    </row>
    <row r="4" spans="1:8" ht="15.75" x14ac:dyDescent="0.25">
      <c r="A4" s="6" t="s">
        <v>10</v>
      </c>
      <c r="B4" s="6" t="s">
        <v>58</v>
      </c>
      <c r="C4" s="6" t="s">
        <v>58</v>
      </c>
      <c r="D4" s="6" t="s">
        <v>1847</v>
      </c>
      <c r="E4" s="6">
        <v>30000000</v>
      </c>
      <c r="H4" s="4"/>
    </row>
    <row r="5" spans="1:8" ht="15.75" x14ac:dyDescent="0.25">
      <c r="A5" s="6" t="s">
        <v>10</v>
      </c>
      <c r="B5" s="6" t="s">
        <v>507</v>
      </c>
      <c r="C5" s="6" t="s">
        <v>507</v>
      </c>
      <c r="D5" s="6" t="s">
        <v>1847</v>
      </c>
      <c r="E5" s="6">
        <v>30000000</v>
      </c>
      <c r="H5" s="4"/>
    </row>
    <row r="6" spans="1:8" ht="15.75" x14ac:dyDescent="0.25">
      <c r="A6" s="6" t="s">
        <v>10</v>
      </c>
      <c r="B6" s="6" t="s">
        <v>508</v>
      </c>
      <c r="C6" s="6" t="s">
        <v>508</v>
      </c>
      <c r="D6" s="6" t="s">
        <v>1847</v>
      </c>
      <c r="E6" s="6">
        <v>30000000</v>
      </c>
      <c r="H6" s="4"/>
    </row>
    <row r="7" spans="1:8" ht="15.75" x14ac:dyDescent="0.25">
      <c r="A7" s="6" t="s">
        <v>10</v>
      </c>
      <c r="B7" s="6" t="s">
        <v>509</v>
      </c>
      <c r="C7" s="6" t="s">
        <v>509</v>
      </c>
      <c r="D7" s="6" t="s">
        <v>1847</v>
      </c>
      <c r="E7" s="6">
        <v>30000000</v>
      </c>
      <c r="H7" s="4"/>
    </row>
    <row r="8" spans="1:8" ht="15.75" x14ac:dyDescent="0.25">
      <c r="A8" s="6" t="s">
        <v>10</v>
      </c>
      <c r="B8" s="6" t="s">
        <v>482</v>
      </c>
      <c r="C8" s="6" t="s">
        <v>482</v>
      </c>
      <c r="D8" s="6" t="s">
        <v>1847</v>
      </c>
      <c r="E8" s="6">
        <v>30000000</v>
      </c>
      <c r="H8" s="4"/>
    </row>
    <row r="9" spans="1:8" ht="15.75" x14ac:dyDescent="0.25">
      <c r="A9" s="6" t="s">
        <v>10</v>
      </c>
      <c r="B9" s="6" t="s">
        <v>510</v>
      </c>
      <c r="C9" s="6" t="s">
        <v>510</v>
      </c>
      <c r="D9" s="6" t="s">
        <v>1847</v>
      </c>
      <c r="E9" s="6">
        <v>30000000</v>
      </c>
      <c r="H9" s="4"/>
    </row>
    <row r="10" spans="1:8" ht="15.75" x14ac:dyDescent="0.25">
      <c r="A10" s="6" t="s">
        <v>10</v>
      </c>
      <c r="B10" s="6" t="s">
        <v>511</v>
      </c>
      <c r="C10" s="6" t="s">
        <v>511</v>
      </c>
      <c r="D10" s="6" t="s">
        <v>1847</v>
      </c>
      <c r="E10" s="6">
        <v>30000000</v>
      </c>
      <c r="H10" s="4"/>
    </row>
    <row r="11" spans="1:8" ht="15.75" x14ac:dyDescent="0.25">
      <c r="A11" s="6" t="s">
        <v>10</v>
      </c>
      <c r="B11" s="6" t="s">
        <v>513</v>
      </c>
      <c r="C11" s="6" t="s">
        <v>514</v>
      </c>
      <c r="D11" s="6" t="s">
        <v>1847</v>
      </c>
      <c r="E11" s="6">
        <v>30000000</v>
      </c>
      <c r="H11" s="4"/>
    </row>
    <row r="12" spans="1:8" ht="15.75" x14ac:dyDescent="0.25">
      <c r="A12" s="6" t="s">
        <v>10</v>
      </c>
      <c r="B12" s="6" t="s">
        <v>514</v>
      </c>
      <c r="C12" s="6" t="s">
        <v>514</v>
      </c>
      <c r="D12" s="6" t="s">
        <v>1847</v>
      </c>
      <c r="E12" s="6">
        <v>30000000</v>
      </c>
      <c r="H12" s="4"/>
    </row>
    <row r="13" spans="1:8" ht="15.75" x14ac:dyDescent="0.25">
      <c r="A13" s="6" t="s">
        <v>10</v>
      </c>
      <c r="B13" s="6" t="s">
        <v>515</v>
      </c>
      <c r="C13" s="6" t="s">
        <v>515</v>
      </c>
      <c r="D13" s="6" t="s">
        <v>1847</v>
      </c>
      <c r="E13" s="6">
        <v>30000000</v>
      </c>
      <c r="H13" s="4"/>
    </row>
    <row r="14" spans="1:8" ht="15.75" x14ac:dyDescent="0.25">
      <c r="A14" s="6" t="s">
        <v>10</v>
      </c>
      <c r="B14" s="6" t="s">
        <v>516</v>
      </c>
      <c r="C14" s="6" t="s">
        <v>515</v>
      </c>
      <c r="D14" s="6" t="s">
        <v>1847</v>
      </c>
      <c r="E14" s="6">
        <v>30000000</v>
      </c>
      <c r="H14" s="4"/>
    </row>
    <row r="15" spans="1:8" ht="15.75" x14ac:dyDescent="0.25">
      <c r="A15" s="6" t="s">
        <v>10</v>
      </c>
      <c r="B15" s="6" t="s">
        <v>517</v>
      </c>
      <c r="C15" s="6" t="s">
        <v>518</v>
      </c>
      <c r="D15" s="6" t="s">
        <v>1847</v>
      </c>
      <c r="E15" s="6">
        <v>30000000</v>
      </c>
      <c r="H15" s="4"/>
    </row>
    <row r="16" spans="1:8" ht="15.75" x14ac:dyDescent="0.25">
      <c r="A16" s="6" t="s">
        <v>10</v>
      </c>
      <c r="B16" s="6" t="s">
        <v>518</v>
      </c>
      <c r="C16" s="6" t="s">
        <v>518</v>
      </c>
      <c r="D16" s="6" t="s">
        <v>1847</v>
      </c>
      <c r="E16" s="6">
        <v>30000000</v>
      </c>
      <c r="H16" s="4"/>
    </row>
    <row r="17" spans="1:8" ht="15.75" x14ac:dyDescent="0.25">
      <c r="A17" s="6" t="s">
        <v>10</v>
      </c>
      <c r="B17" s="6" t="s">
        <v>56</v>
      </c>
      <c r="C17" s="6" t="s">
        <v>57</v>
      </c>
      <c r="D17" s="6" t="s">
        <v>1847</v>
      </c>
      <c r="E17" s="6">
        <v>30000000</v>
      </c>
      <c r="H17" s="4"/>
    </row>
    <row r="18" spans="1:8" ht="15.75" x14ac:dyDescent="0.25">
      <c r="A18" s="6" t="s">
        <v>10</v>
      </c>
      <c r="B18" s="6" t="s">
        <v>57</v>
      </c>
      <c r="C18" s="6" t="s">
        <v>57</v>
      </c>
      <c r="D18" s="6" t="s">
        <v>1847</v>
      </c>
      <c r="E18" s="6">
        <v>30000000</v>
      </c>
      <c r="H18" s="4"/>
    </row>
    <row r="19" spans="1:8" ht="15.75" x14ac:dyDescent="0.25">
      <c r="A19" s="6" t="s">
        <v>10</v>
      </c>
      <c r="B19" s="6" t="s">
        <v>105</v>
      </c>
      <c r="C19" s="6" t="s">
        <v>57</v>
      </c>
      <c r="D19" s="6" t="s">
        <v>1847</v>
      </c>
      <c r="E19" s="6">
        <v>30000000</v>
      </c>
      <c r="H19" s="4"/>
    </row>
    <row r="20" spans="1:8" ht="15.75" x14ac:dyDescent="0.25">
      <c r="A20" s="6" t="s">
        <v>10</v>
      </c>
      <c r="B20" s="6" t="s">
        <v>519</v>
      </c>
      <c r="C20" s="6" t="s">
        <v>520</v>
      </c>
      <c r="D20" s="6" t="s">
        <v>1847</v>
      </c>
      <c r="E20" s="6">
        <v>30000000</v>
      </c>
      <c r="H20" s="4"/>
    </row>
    <row r="21" spans="1:8" ht="15.75" x14ac:dyDescent="0.25">
      <c r="A21" s="6" t="s">
        <v>10</v>
      </c>
      <c r="B21" s="6" t="s">
        <v>520</v>
      </c>
      <c r="C21" s="6" t="s">
        <v>520</v>
      </c>
      <c r="D21" s="6" t="s">
        <v>1847</v>
      </c>
      <c r="E21" s="6">
        <v>30000000</v>
      </c>
      <c r="H21" s="4"/>
    </row>
    <row r="22" spans="1:8" ht="15.75" x14ac:dyDescent="0.25">
      <c r="A22" s="6" t="s">
        <v>10</v>
      </c>
      <c r="B22" s="6" t="s">
        <v>521</v>
      </c>
      <c r="C22" s="6" t="s">
        <v>59</v>
      </c>
      <c r="D22" s="6" t="s">
        <v>1847</v>
      </c>
      <c r="E22" s="6">
        <v>30000000</v>
      </c>
      <c r="H22" s="4"/>
    </row>
    <row r="23" spans="1:8" ht="15.75" x14ac:dyDescent="0.25">
      <c r="A23" s="6" t="s">
        <v>10</v>
      </c>
      <c r="B23" s="6" t="s">
        <v>59</v>
      </c>
      <c r="C23" s="6" t="s">
        <v>59</v>
      </c>
      <c r="D23" s="6" t="s">
        <v>1847</v>
      </c>
      <c r="E23" s="6">
        <v>30000000</v>
      </c>
      <c r="H23" s="4"/>
    </row>
    <row r="24" spans="1:8" ht="15.75" x14ac:dyDescent="0.25">
      <c r="A24" s="6" t="s">
        <v>10</v>
      </c>
      <c r="B24" s="6" t="s">
        <v>522</v>
      </c>
      <c r="C24" s="6" t="s">
        <v>49</v>
      </c>
      <c r="D24" s="6" t="s">
        <v>1847</v>
      </c>
      <c r="E24" s="6">
        <v>30000000</v>
      </c>
      <c r="H24" s="4"/>
    </row>
    <row r="25" spans="1:8" ht="15.75" x14ac:dyDescent="0.25">
      <c r="A25" s="6" t="s">
        <v>10</v>
      </c>
      <c r="B25" s="6" t="s">
        <v>49</v>
      </c>
      <c r="C25" s="6" t="s">
        <v>49</v>
      </c>
      <c r="D25" s="6" t="s">
        <v>1847</v>
      </c>
      <c r="E25" s="6">
        <v>30000000</v>
      </c>
      <c r="H25" s="4"/>
    </row>
    <row r="26" spans="1:8" ht="15.75" x14ac:dyDescent="0.25">
      <c r="A26" s="6" t="s">
        <v>10</v>
      </c>
      <c r="B26" s="6" t="s">
        <v>523</v>
      </c>
      <c r="C26" s="6" t="s">
        <v>524</v>
      </c>
      <c r="D26" s="6" t="s">
        <v>1847</v>
      </c>
      <c r="E26" s="6">
        <v>30000000</v>
      </c>
      <c r="H26" s="4"/>
    </row>
    <row r="27" spans="1:8" ht="15.75" x14ac:dyDescent="0.25">
      <c r="A27" s="6" t="s">
        <v>10</v>
      </c>
      <c r="B27" s="6" t="s">
        <v>525</v>
      </c>
      <c r="C27" s="6" t="s">
        <v>524</v>
      </c>
      <c r="D27" s="6" t="s">
        <v>1847</v>
      </c>
      <c r="E27" s="6">
        <v>30000000</v>
      </c>
      <c r="H27" s="4"/>
    </row>
    <row r="28" spans="1:8" ht="15.75" x14ac:dyDescent="0.25">
      <c r="A28" s="6" t="s">
        <v>10</v>
      </c>
      <c r="B28" s="6" t="s">
        <v>524</v>
      </c>
      <c r="C28" s="6" t="s">
        <v>524</v>
      </c>
      <c r="D28" s="6" t="s">
        <v>1847</v>
      </c>
      <c r="E28" s="6">
        <v>30000000</v>
      </c>
    </row>
    <row r="29" spans="1:8" ht="15.75" x14ac:dyDescent="0.25">
      <c r="A29" s="6" t="s">
        <v>0</v>
      </c>
      <c r="B29" s="6" t="s">
        <v>53</v>
      </c>
      <c r="C29" s="6" t="s">
        <v>54</v>
      </c>
      <c r="D29" s="6" t="s">
        <v>1847</v>
      </c>
      <c r="E29" s="6">
        <v>20000000</v>
      </c>
    </row>
    <row r="30" spans="1:8" ht="15.75" x14ac:dyDescent="0.25">
      <c r="A30" s="6" t="s">
        <v>0</v>
      </c>
      <c r="B30" s="6" t="s">
        <v>54</v>
      </c>
      <c r="C30" s="6" t="s">
        <v>54</v>
      </c>
      <c r="D30" s="6" t="s">
        <v>1847</v>
      </c>
      <c r="E30" s="6">
        <v>20000000</v>
      </c>
    </row>
    <row r="31" spans="1:8" ht="15.75" x14ac:dyDescent="0.25">
      <c r="A31" s="6" t="s">
        <v>0</v>
      </c>
      <c r="B31" s="6" t="s">
        <v>505</v>
      </c>
      <c r="C31" s="6" t="s">
        <v>44</v>
      </c>
      <c r="D31" s="6" t="s">
        <v>1847</v>
      </c>
      <c r="E31" s="6">
        <v>20000000</v>
      </c>
    </row>
    <row r="32" spans="1:8" ht="15.75" x14ac:dyDescent="0.25">
      <c r="A32" s="6" t="s">
        <v>0</v>
      </c>
      <c r="B32" s="6" t="s">
        <v>43</v>
      </c>
      <c r="C32" s="6" t="s">
        <v>44</v>
      </c>
      <c r="D32" s="6" t="s">
        <v>1847</v>
      </c>
      <c r="E32" s="6">
        <v>20000000</v>
      </c>
    </row>
    <row r="33" spans="1:5" ht="15.75" x14ac:dyDescent="0.25">
      <c r="A33" s="6" t="s">
        <v>0</v>
      </c>
      <c r="B33" s="6" t="s">
        <v>44</v>
      </c>
      <c r="C33" s="6" t="s">
        <v>44</v>
      </c>
      <c r="D33" s="6" t="s">
        <v>1847</v>
      </c>
      <c r="E33" s="6">
        <v>20000000</v>
      </c>
    </row>
    <row r="34" spans="1:5" ht="15.75" x14ac:dyDescent="0.25">
      <c r="A34" s="6" t="s">
        <v>0</v>
      </c>
      <c r="B34" s="6" t="s">
        <v>55</v>
      </c>
      <c r="C34" s="6" t="s">
        <v>55</v>
      </c>
      <c r="D34" s="6" t="s">
        <v>1847</v>
      </c>
      <c r="E34" s="6">
        <v>20000000</v>
      </c>
    </row>
    <row r="35" spans="1:5" ht="15.75" x14ac:dyDescent="0.25">
      <c r="A35" s="6" t="s">
        <v>0</v>
      </c>
      <c r="B35" s="6" t="s">
        <v>35</v>
      </c>
      <c r="C35" s="6" t="s">
        <v>36</v>
      </c>
      <c r="D35" s="6" t="s">
        <v>1846</v>
      </c>
      <c r="E35" s="6">
        <v>0</v>
      </c>
    </row>
    <row r="36" spans="1:5" ht="15.75" x14ac:dyDescent="0.25">
      <c r="A36" s="6" t="s">
        <v>0</v>
      </c>
      <c r="B36" s="6" t="s">
        <v>42</v>
      </c>
      <c r="C36" s="6" t="s">
        <v>36</v>
      </c>
      <c r="D36" s="6" t="s">
        <v>1846</v>
      </c>
      <c r="E36" s="6">
        <v>0</v>
      </c>
    </row>
    <row r="37" spans="1:5" ht="15.75" x14ac:dyDescent="0.25">
      <c r="A37" s="6" t="s">
        <v>0</v>
      </c>
      <c r="B37" s="6" t="s">
        <v>36</v>
      </c>
      <c r="C37" s="6" t="s">
        <v>36</v>
      </c>
      <c r="D37" s="6" t="s">
        <v>1846</v>
      </c>
      <c r="E37" s="6">
        <v>0</v>
      </c>
    </row>
    <row r="38" spans="1:5" ht="15.75" x14ac:dyDescent="0.25">
      <c r="A38" s="6" t="s">
        <v>0</v>
      </c>
      <c r="B38" s="6" t="s">
        <v>527</v>
      </c>
      <c r="C38" s="6" t="s">
        <v>48</v>
      </c>
      <c r="D38" s="6" t="s">
        <v>1847</v>
      </c>
      <c r="E38" s="6">
        <v>20000000</v>
      </c>
    </row>
    <row r="39" spans="1:5" ht="15.75" x14ac:dyDescent="0.25">
      <c r="A39" s="6" t="s">
        <v>0</v>
      </c>
      <c r="B39" s="6" t="s">
        <v>48</v>
      </c>
      <c r="C39" s="6" t="s">
        <v>48</v>
      </c>
      <c r="D39" s="6" t="s">
        <v>1847</v>
      </c>
      <c r="E39" s="6">
        <v>20000000</v>
      </c>
    </row>
    <row r="40" spans="1:5" ht="15.75" x14ac:dyDescent="0.25">
      <c r="A40" s="6" t="s">
        <v>0</v>
      </c>
      <c r="B40" s="6" t="s">
        <v>46</v>
      </c>
      <c r="C40" s="6" t="s">
        <v>47</v>
      </c>
      <c r="D40" s="6" t="s">
        <v>1847</v>
      </c>
      <c r="E40" s="6">
        <v>20000000</v>
      </c>
    </row>
    <row r="41" spans="1:5" ht="15.75" x14ac:dyDescent="0.25">
      <c r="A41" s="6" t="s">
        <v>0</v>
      </c>
      <c r="B41" s="6" t="s">
        <v>47</v>
      </c>
      <c r="C41" s="6" t="s">
        <v>47</v>
      </c>
      <c r="D41" s="6" t="s">
        <v>1847</v>
      </c>
      <c r="E41" s="6">
        <v>20000000</v>
      </c>
    </row>
    <row r="42" spans="1:5" ht="15.75" x14ac:dyDescent="0.25">
      <c r="A42" s="6" t="s">
        <v>0</v>
      </c>
      <c r="B42" s="6" t="s">
        <v>528</v>
      </c>
      <c r="C42" s="6" t="s">
        <v>45</v>
      </c>
      <c r="D42" s="6" t="s">
        <v>1847</v>
      </c>
      <c r="E42" s="6">
        <v>20000000</v>
      </c>
    </row>
    <row r="43" spans="1:5" ht="15.75" x14ac:dyDescent="0.25">
      <c r="A43" s="6" t="s">
        <v>0</v>
      </c>
      <c r="B43" s="6" t="s">
        <v>61</v>
      </c>
      <c r="C43" s="6" t="s">
        <v>45</v>
      </c>
      <c r="D43" s="6" t="s">
        <v>1847</v>
      </c>
      <c r="E43" s="6">
        <v>20000000</v>
      </c>
    </row>
    <row r="44" spans="1:5" ht="15.75" x14ac:dyDescent="0.25">
      <c r="A44" s="6" t="s">
        <v>0</v>
      </c>
      <c r="B44" s="6" t="s">
        <v>45</v>
      </c>
      <c r="C44" s="6" t="s">
        <v>45</v>
      </c>
      <c r="D44" s="6" t="s">
        <v>1847</v>
      </c>
      <c r="E44" s="6">
        <v>20000000</v>
      </c>
    </row>
    <row r="45" spans="1:5" ht="15.75" x14ac:dyDescent="0.25">
      <c r="A45" s="6" t="s">
        <v>0</v>
      </c>
      <c r="B45" s="6" t="s">
        <v>66</v>
      </c>
      <c r="C45" s="6" t="s">
        <v>62</v>
      </c>
      <c r="D45" s="6" t="s">
        <v>1847</v>
      </c>
      <c r="E45" s="6">
        <v>20000000</v>
      </c>
    </row>
    <row r="46" spans="1:5" ht="15.75" x14ac:dyDescent="0.25">
      <c r="A46" s="6" t="s">
        <v>0</v>
      </c>
      <c r="B46" s="6" t="s">
        <v>529</v>
      </c>
      <c r="C46" s="6" t="s">
        <v>62</v>
      </c>
      <c r="D46" s="6" t="s">
        <v>1847</v>
      </c>
      <c r="E46" s="6">
        <v>20000000</v>
      </c>
    </row>
    <row r="47" spans="1:5" ht="15.75" x14ac:dyDescent="0.25">
      <c r="A47" s="6" t="s">
        <v>0</v>
      </c>
      <c r="B47" s="6" t="s">
        <v>62</v>
      </c>
      <c r="C47" s="6" t="s">
        <v>62</v>
      </c>
      <c r="D47" s="6" t="s">
        <v>1847</v>
      </c>
      <c r="E47" s="6">
        <v>20000000</v>
      </c>
    </row>
    <row r="48" spans="1:5" ht="15.75" x14ac:dyDescent="0.25">
      <c r="A48" s="6" t="s">
        <v>0</v>
      </c>
      <c r="B48" s="6" t="s">
        <v>51</v>
      </c>
      <c r="C48" s="6" t="s">
        <v>52</v>
      </c>
      <c r="D48" s="6" t="s">
        <v>1847</v>
      </c>
      <c r="E48" s="6">
        <v>20000000</v>
      </c>
    </row>
    <row r="49" spans="1:5" ht="15.75" x14ac:dyDescent="0.25">
      <c r="A49" s="6" t="s">
        <v>0</v>
      </c>
      <c r="B49" s="6" t="s">
        <v>52</v>
      </c>
      <c r="C49" s="6" t="s">
        <v>52</v>
      </c>
      <c r="D49" s="6" t="s">
        <v>1847</v>
      </c>
      <c r="E49" s="6">
        <v>20000000</v>
      </c>
    </row>
    <row r="50" spans="1:5" ht="15.75" x14ac:dyDescent="0.25">
      <c r="A50" s="6" t="s">
        <v>0</v>
      </c>
      <c r="B50" s="6" t="s">
        <v>530</v>
      </c>
      <c r="C50" s="6" t="s">
        <v>531</v>
      </c>
      <c r="D50" s="6" t="s">
        <v>1847</v>
      </c>
      <c r="E50" s="6">
        <v>20000000</v>
      </c>
    </row>
    <row r="51" spans="1:5" ht="15.75" x14ac:dyDescent="0.25">
      <c r="A51" s="6" t="s">
        <v>0</v>
      </c>
      <c r="B51" s="6" t="s">
        <v>531</v>
      </c>
      <c r="C51" s="6" t="s">
        <v>531</v>
      </c>
      <c r="D51" s="6" t="s">
        <v>1847</v>
      </c>
      <c r="E51" s="6">
        <v>20000000</v>
      </c>
    </row>
    <row r="52" spans="1:5" ht="15.75" x14ac:dyDescent="0.25">
      <c r="A52" s="6" t="s">
        <v>0</v>
      </c>
      <c r="B52" s="6" t="s">
        <v>38</v>
      </c>
      <c r="C52" s="6" t="s">
        <v>39</v>
      </c>
      <c r="D52" s="6" t="s">
        <v>1847</v>
      </c>
      <c r="E52" s="6">
        <v>20000000</v>
      </c>
    </row>
    <row r="53" spans="1:5" ht="15.75" x14ac:dyDescent="0.25">
      <c r="A53" s="6" t="s">
        <v>0</v>
      </c>
      <c r="B53" s="6" t="s">
        <v>39</v>
      </c>
      <c r="C53" s="6" t="s">
        <v>39</v>
      </c>
      <c r="D53" s="6" t="s">
        <v>1847</v>
      </c>
      <c r="E53" s="6">
        <v>20000000</v>
      </c>
    </row>
    <row r="54" spans="1:5" ht="15.75" x14ac:dyDescent="0.25">
      <c r="A54" s="6" t="s">
        <v>5</v>
      </c>
      <c r="B54" s="6" t="s">
        <v>305</v>
      </c>
      <c r="C54" s="6" t="s">
        <v>504</v>
      </c>
      <c r="D54" s="6" t="s">
        <v>1847</v>
      </c>
      <c r="E54" s="6">
        <v>25000000</v>
      </c>
    </row>
    <row r="55" spans="1:5" ht="15.75" x14ac:dyDescent="0.25">
      <c r="A55" s="6" t="s">
        <v>5</v>
      </c>
      <c r="B55" s="6" t="s">
        <v>512</v>
      </c>
      <c r="C55" s="6" t="s">
        <v>512</v>
      </c>
      <c r="D55" s="6" t="s">
        <v>1847</v>
      </c>
      <c r="E55" s="6">
        <v>25000000</v>
      </c>
    </row>
    <row r="56" spans="1:5" ht="15.75" x14ac:dyDescent="0.25">
      <c r="A56" s="6" t="s">
        <v>5</v>
      </c>
      <c r="B56" s="6" t="s">
        <v>92</v>
      </c>
      <c r="C56" s="6" t="s">
        <v>93</v>
      </c>
      <c r="D56" s="6" t="s">
        <v>1847</v>
      </c>
      <c r="E56" s="6">
        <v>25000000</v>
      </c>
    </row>
    <row r="57" spans="1:5" ht="15.75" x14ac:dyDescent="0.25">
      <c r="A57" s="6" t="s">
        <v>5</v>
      </c>
      <c r="B57" s="6" t="s">
        <v>93</v>
      </c>
      <c r="C57" s="6" t="s">
        <v>93</v>
      </c>
      <c r="D57" s="6" t="s">
        <v>1847</v>
      </c>
      <c r="E57" s="6">
        <v>25000000</v>
      </c>
    </row>
    <row r="58" spans="1:5" ht="15.75" x14ac:dyDescent="0.25">
      <c r="A58" s="6" t="s">
        <v>5</v>
      </c>
      <c r="B58" s="6" t="s">
        <v>41</v>
      </c>
      <c r="C58" s="6" t="s">
        <v>40</v>
      </c>
      <c r="D58" s="6" t="s">
        <v>1847</v>
      </c>
      <c r="E58" s="6">
        <v>25000000</v>
      </c>
    </row>
    <row r="59" spans="1:5" ht="15.75" x14ac:dyDescent="0.25">
      <c r="A59" s="6" t="s">
        <v>5</v>
      </c>
      <c r="B59" s="6" t="s">
        <v>40</v>
      </c>
      <c r="C59" s="6" t="s">
        <v>40</v>
      </c>
      <c r="D59" s="6" t="s">
        <v>1847</v>
      </c>
      <c r="E59" s="6">
        <v>25000000</v>
      </c>
    </row>
    <row r="60" spans="1:5" ht="15.75" x14ac:dyDescent="0.25">
      <c r="A60" s="6" t="s">
        <v>5</v>
      </c>
      <c r="B60" s="6" t="s">
        <v>64</v>
      </c>
      <c r="C60" s="6" t="s">
        <v>65</v>
      </c>
      <c r="D60" s="6" t="s">
        <v>1847</v>
      </c>
      <c r="E60" s="6">
        <v>25000000</v>
      </c>
    </row>
    <row r="61" spans="1:5" ht="15.75" x14ac:dyDescent="0.25">
      <c r="A61" s="6" t="s">
        <v>5</v>
      </c>
      <c r="B61" s="6" t="s">
        <v>65</v>
      </c>
      <c r="C61" s="6" t="s">
        <v>65</v>
      </c>
      <c r="D61" s="6" t="s">
        <v>1847</v>
      </c>
      <c r="E61" s="6">
        <v>25000000</v>
      </c>
    </row>
    <row r="62" spans="1:5" ht="15.75" x14ac:dyDescent="0.25">
      <c r="A62" s="6" t="s">
        <v>5</v>
      </c>
      <c r="B62" s="6" t="s">
        <v>63</v>
      </c>
      <c r="C62" s="6" t="s">
        <v>60</v>
      </c>
      <c r="D62" s="6" t="s">
        <v>1847</v>
      </c>
      <c r="E62" s="6">
        <v>25000000</v>
      </c>
    </row>
    <row r="63" spans="1:5" ht="15.75" x14ac:dyDescent="0.25">
      <c r="A63" s="6" t="s">
        <v>5</v>
      </c>
      <c r="B63" s="6" t="s">
        <v>60</v>
      </c>
      <c r="C63" s="6" t="s">
        <v>60</v>
      </c>
      <c r="D63" s="6" t="s">
        <v>1847</v>
      </c>
      <c r="E63" s="6">
        <v>25000000</v>
      </c>
    </row>
    <row r="64" spans="1:5" ht="15.75" x14ac:dyDescent="0.25">
      <c r="A64" s="6" t="s">
        <v>5</v>
      </c>
      <c r="B64" s="6" t="s">
        <v>526</v>
      </c>
      <c r="C64" s="6" t="s">
        <v>55</v>
      </c>
      <c r="D64" s="6" t="s">
        <v>1847</v>
      </c>
      <c r="E64" s="6">
        <v>25000000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05E1-2823-4984-BFA8-1C1EBB18C89B}">
  <dimension ref="A1:C16"/>
  <sheetViews>
    <sheetView workbookViewId="0">
      <selection activeCell="B1" sqref="B1:B1048576"/>
    </sheetView>
  </sheetViews>
  <sheetFormatPr defaultColWidth="8.85546875" defaultRowHeight="12.75" x14ac:dyDescent="0.2"/>
  <cols>
    <col min="1" max="1" width="27.85546875" style="2" bestFit="1" customWidth="1"/>
    <col min="2" max="2" width="14.140625" style="2" bestFit="1" customWidth="1"/>
    <col min="3" max="3" width="17.140625" style="2" bestFit="1" customWidth="1"/>
  </cols>
  <sheetData>
    <row r="1" spans="1:3" s="16" customFormat="1" ht="15.75" x14ac:dyDescent="0.25">
      <c r="A1" s="15" t="s">
        <v>1380</v>
      </c>
      <c r="B1" s="15" t="s">
        <v>1379</v>
      </c>
      <c r="C1" s="15" t="s">
        <v>1378</v>
      </c>
    </row>
    <row r="2" spans="1:3" ht="15.75" x14ac:dyDescent="0.25">
      <c r="A2" s="6" t="s">
        <v>252</v>
      </c>
      <c r="B2" s="6" t="s">
        <v>860</v>
      </c>
      <c r="C2" s="6" t="s">
        <v>1381</v>
      </c>
    </row>
    <row r="3" spans="1:3" ht="15.75" x14ac:dyDescent="0.25">
      <c r="A3" s="6" t="s">
        <v>341</v>
      </c>
      <c r="B3" s="6" t="s">
        <v>861</v>
      </c>
      <c r="C3" s="6" t="s">
        <v>1382</v>
      </c>
    </row>
    <row r="4" spans="1:3" ht="15.75" x14ac:dyDescent="0.25">
      <c r="A4" s="6" t="s">
        <v>102</v>
      </c>
      <c r="B4" s="6" t="s">
        <v>862</v>
      </c>
      <c r="C4" s="6" t="s">
        <v>1383</v>
      </c>
    </row>
    <row r="5" spans="1:3" ht="15.75" x14ac:dyDescent="0.25">
      <c r="A5" s="6" t="s">
        <v>358</v>
      </c>
      <c r="B5" s="6" t="s">
        <v>863</v>
      </c>
      <c r="C5" s="6" t="s">
        <v>1381</v>
      </c>
    </row>
    <row r="6" spans="1:3" ht="15.75" x14ac:dyDescent="0.25">
      <c r="A6" s="6" t="s">
        <v>499</v>
      </c>
      <c r="B6" s="6" t="s">
        <v>864</v>
      </c>
      <c r="C6" s="6" t="s">
        <v>1382</v>
      </c>
    </row>
    <row r="7" spans="1:3" ht="15.75" x14ac:dyDescent="0.25">
      <c r="A7" s="6" t="s">
        <v>67</v>
      </c>
      <c r="B7" s="6" t="s">
        <v>865</v>
      </c>
      <c r="C7" s="6" t="s">
        <v>1381</v>
      </c>
    </row>
    <row r="8" spans="1:3" ht="15.75" x14ac:dyDescent="0.25">
      <c r="A8" s="6" t="s">
        <v>140</v>
      </c>
      <c r="B8" s="6" t="s">
        <v>866</v>
      </c>
      <c r="C8" s="6" t="s">
        <v>1386</v>
      </c>
    </row>
    <row r="9" spans="1:3" ht="15.75" x14ac:dyDescent="0.25">
      <c r="A9" s="6" t="s">
        <v>132</v>
      </c>
      <c r="B9" s="6" t="s">
        <v>867</v>
      </c>
      <c r="C9" s="6" t="s">
        <v>1382</v>
      </c>
    </row>
    <row r="10" spans="1:3" ht="15.75" x14ac:dyDescent="0.25">
      <c r="A10" s="6" t="s">
        <v>82</v>
      </c>
      <c r="B10" s="6" t="s">
        <v>868</v>
      </c>
      <c r="C10" s="6" t="s">
        <v>1381</v>
      </c>
    </row>
    <row r="11" spans="1:3" ht="15.75" x14ac:dyDescent="0.25">
      <c r="A11" s="6" t="s">
        <v>254</v>
      </c>
      <c r="B11" s="6" t="s">
        <v>869</v>
      </c>
      <c r="C11" s="6" t="s">
        <v>1382</v>
      </c>
    </row>
    <row r="12" spans="1:3" ht="15.75" x14ac:dyDescent="0.25">
      <c r="A12" s="6" t="s">
        <v>229</v>
      </c>
      <c r="B12" s="6" t="s">
        <v>870</v>
      </c>
      <c r="C12" s="6" t="s">
        <v>1382</v>
      </c>
    </row>
    <row r="13" spans="1:3" ht="15.75" x14ac:dyDescent="0.25">
      <c r="A13" s="6" t="s">
        <v>406</v>
      </c>
      <c r="B13" s="6" t="s">
        <v>871</v>
      </c>
      <c r="C13" s="6" t="s">
        <v>1384</v>
      </c>
    </row>
    <row r="14" spans="1:3" ht="15.75" x14ac:dyDescent="0.25">
      <c r="A14" s="6" t="s">
        <v>474</v>
      </c>
      <c r="B14" s="6" t="s">
        <v>872</v>
      </c>
      <c r="C14" s="6" t="s">
        <v>1382</v>
      </c>
    </row>
    <row r="15" spans="1:3" ht="15.75" x14ac:dyDescent="0.25">
      <c r="A15" s="6" t="s">
        <v>418</v>
      </c>
      <c r="B15" s="6" t="s">
        <v>873</v>
      </c>
      <c r="C15" s="6" t="s">
        <v>1382</v>
      </c>
    </row>
    <row r="16" spans="1:3" ht="15.75" x14ac:dyDescent="0.25">
      <c r="A16" s="6" t="s">
        <v>70</v>
      </c>
      <c r="B16" s="6" t="s">
        <v>874</v>
      </c>
      <c r="C16" s="6" t="s">
        <v>1385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E7E4-7662-4C8D-A4D7-7C445AC9D980}">
  <dimension ref="A1:C22"/>
  <sheetViews>
    <sheetView workbookViewId="0">
      <selection activeCell="M32" sqref="M32"/>
    </sheetView>
  </sheetViews>
  <sheetFormatPr defaultColWidth="8.85546875" defaultRowHeight="12.75" x14ac:dyDescent="0.2"/>
  <cols>
    <col min="1" max="1" width="32.5703125" style="5" bestFit="1" customWidth="1"/>
    <col min="2" max="2" width="12.85546875" style="5" bestFit="1" customWidth="1"/>
    <col min="3" max="3" width="15.140625" style="5" bestFit="1" customWidth="1"/>
  </cols>
  <sheetData>
    <row r="1" spans="1:3" s="16" customFormat="1" ht="15.75" x14ac:dyDescent="0.25">
      <c r="A1" s="15" t="s">
        <v>1861</v>
      </c>
      <c r="B1" s="15" t="s">
        <v>1866</v>
      </c>
      <c r="C1" s="15" t="s">
        <v>1864</v>
      </c>
    </row>
    <row r="2" spans="1:3" ht="15.75" x14ac:dyDescent="0.25">
      <c r="A2" s="6" t="s">
        <v>6</v>
      </c>
      <c r="B2" s="6" t="s">
        <v>1867</v>
      </c>
      <c r="C2" s="6" t="s">
        <v>1357</v>
      </c>
    </row>
    <row r="3" spans="1:3" ht="15.75" x14ac:dyDescent="0.25">
      <c r="A3" s="6" t="s">
        <v>23</v>
      </c>
      <c r="B3" s="6" t="s">
        <v>1867</v>
      </c>
      <c r="C3" s="6" t="s">
        <v>1359</v>
      </c>
    </row>
    <row r="4" spans="1:3" ht="15.75" x14ac:dyDescent="0.25">
      <c r="A4" s="6" t="s">
        <v>21</v>
      </c>
      <c r="B4" s="6" t="s">
        <v>1867</v>
      </c>
      <c r="C4" s="6" t="s">
        <v>1360</v>
      </c>
    </row>
    <row r="5" spans="1:3" ht="15.75" x14ac:dyDescent="0.25">
      <c r="A5" s="6" t="s">
        <v>1</v>
      </c>
      <c r="B5" s="6" t="s">
        <v>1867</v>
      </c>
      <c r="C5" s="6" t="s">
        <v>1361</v>
      </c>
    </row>
    <row r="6" spans="1:3" ht="15.75" x14ac:dyDescent="0.25">
      <c r="A6" s="6" t="s">
        <v>24</v>
      </c>
      <c r="B6" s="6" t="s">
        <v>1868</v>
      </c>
      <c r="C6" s="6" t="s">
        <v>1362</v>
      </c>
    </row>
    <row r="7" spans="1:3" ht="15.75" x14ac:dyDescent="0.25">
      <c r="A7" s="6" t="s">
        <v>29</v>
      </c>
      <c r="B7" s="6" t="s">
        <v>1868</v>
      </c>
      <c r="C7" s="6" t="s">
        <v>1363</v>
      </c>
    </row>
    <row r="8" spans="1:3" ht="15.75" x14ac:dyDescent="0.25">
      <c r="A8" s="6" t="s">
        <v>14</v>
      </c>
      <c r="B8" s="6" t="s">
        <v>1868</v>
      </c>
      <c r="C8" s="6" t="s">
        <v>1364</v>
      </c>
    </row>
    <row r="9" spans="1:3" ht="15.75" x14ac:dyDescent="0.25">
      <c r="A9" s="6" t="s">
        <v>28</v>
      </c>
      <c r="B9" s="6" t="s">
        <v>1868</v>
      </c>
      <c r="C9" s="6" t="s">
        <v>1365</v>
      </c>
    </row>
    <row r="10" spans="1:3" ht="15.75" x14ac:dyDescent="0.25">
      <c r="A10" s="6" t="s">
        <v>18</v>
      </c>
      <c r="B10" s="6" t="s">
        <v>1868</v>
      </c>
      <c r="C10" s="6" t="s">
        <v>1366</v>
      </c>
    </row>
    <row r="11" spans="1:3" ht="15.75" x14ac:dyDescent="0.25">
      <c r="A11" s="6" t="s">
        <v>11</v>
      </c>
      <c r="B11" s="6" t="s">
        <v>1868</v>
      </c>
      <c r="C11" s="6" t="s">
        <v>1367</v>
      </c>
    </row>
    <row r="12" spans="1:3" ht="15.75" x14ac:dyDescent="0.25">
      <c r="A12" s="6" t="s">
        <v>30</v>
      </c>
      <c r="B12" s="6" t="s">
        <v>1868</v>
      </c>
      <c r="C12" s="6" t="s">
        <v>1368</v>
      </c>
    </row>
    <row r="13" spans="1:3" ht="15.75" x14ac:dyDescent="0.25">
      <c r="A13" s="6" t="s">
        <v>16</v>
      </c>
      <c r="B13" s="6" t="s">
        <v>1868</v>
      </c>
      <c r="C13" s="6" t="s">
        <v>1369</v>
      </c>
    </row>
    <row r="14" spans="1:3" ht="15.75" x14ac:dyDescent="0.25">
      <c r="A14" s="6" t="s">
        <v>20</v>
      </c>
      <c r="B14" s="6" t="s">
        <v>1868</v>
      </c>
      <c r="C14" s="6" t="s">
        <v>1370</v>
      </c>
    </row>
    <row r="15" spans="1:3" ht="15.75" x14ac:dyDescent="0.25">
      <c r="A15" s="6" t="s">
        <v>25</v>
      </c>
      <c r="B15" s="6" t="s">
        <v>1868</v>
      </c>
      <c r="C15" s="6" t="s">
        <v>1371</v>
      </c>
    </row>
    <row r="16" spans="1:3" ht="15.75" x14ac:dyDescent="0.25">
      <c r="A16" s="6" t="s">
        <v>22</v>
      </c>
      <c r="B16" s="6" t="s">
        <v>1868</v>
      </c>
      <c r="C16" s="6" t="s">
        <v>1372</v>
      </c>
    </row>
    <row r="17" spans="1:3" ht="15.75" x14ac:dyDescent="0.25">
      <c r="A17" s="6" t="s">
        <v>32</v>
      </c>
      <c r="B17" s="6" t="s">
        <v>1868</v>
      </c>
      <c r="C17" s="6" t="s">
        <v>1373</v>
      </c>
    </row>
    <row r="18" spans="1:3" ht="15.75" x14ac:dyDescent="0.25">
      <c r="A18" s="6" t="s">
        <v>34</v>
      </c>
      <c r="B18" s="6" t="s">
        <v>1868</v>
      </c>
      <c r="C18" s="6" t="s">
        <v>1374</v>
      </c>
    </row>
    <row r="19" spans="1:3" ht="15.75" x14ac:dyDescent="0.25">
      <c r="A19" s="6" t="s">
        <v>26</v>
      </c>
      <c r="B19" s="6" t="s">
        <v>1869</v>
      </c>
      <c r="C19" s="6" t="s">
        <v>1375</v>
      </c>
    </row>
    <row r="20" spans="1:3" ht="15.75" x14ac:dyDescent="0.25">
      <c r="A20" s="6" t="s">
        <v>27</v>
      </c>
      <c r="B20" s="6" t="s">
        <v>1869</v>
      </c>
      <c r="C20" s="6" t="s">
        <v>1376</v>
      </c>
    </row>
    <row r="21" spans="1:3" ht="15.75" x14ac:dyDescent="0.25">
      <c r="A21" s="6" t="s">
        <v>31</v>
      </c>
      <c r="B21" s="6" t="s">
        <v>1869</v>
      </c>
      <c r="C21" s="6" t="s">
        <v>1358</v>
      </c>
    </row>
    <row r="22" spans="1:3" ht="15.75" x14ac:dyDescent="0.25">
      <c r="A22" s="6" t="s">
        <v>33</v>
      </c>
      <c r="B22" s="6" t="s">
        <v>1870</v>
      </c>
      <c r="C22" s="6" t="s">
        <v>1377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E5180-A4DB-4BE6-AE14-82FA4C9D0C9F}">
  <sheetPr>
    <tabColor rgb="FFFFD966"/>
  </sheetPr>
  <dimension ref="A1:F757"/>
  <sheetViews>
    <sheetView workbookViewId="0">
      <selection activeCell="F2" sqref="F2"/>
    </sheetView>
  </sheetViews>
  <sheetFormatPr defaultRowHeight="12.75" x14ac:dyDescent="0.2"/>
  <cols>
    <col min="1" max="1" width="25.7109375" style="19" bestFit="1" customWidth="1"/>
    <col min="2" max="2" width="12.140625" style="19" customWidth="1"/>
    <col min="3" max="4" width="9.140625" style="19"/>
    <col min="5" max="5" width="10.85546875" style="19" bestFit="1" customWidth="1"/>
    <col min="6" max="6" width="10.85546875" style="19" customWidth="1"/>
    <col min="7" max="16384" width="9.140625" style="19"/>
  </cols>
  <sheetData>
    <row r="1" spans="1:6" x14ac:dyDescent="0.2">
      <c r="A1" s="19" t="s">
        <v>1861</v>
      </c>
      <c r="B1" s="19" t="s">
        <v>1864</v>
      </c>
      <c r="C1" s="19" t="s">
        <v>1871</v>
      </c>
      <c r="D1" s="19" t="s">
        <v>1872</v>
      </c>
      <c r="E1" s="19" t="s">
        <v>1852</v>
      </c>
      <c r="F1" s="19" t="s">
        <v>1873</v>
      </c>
    </row>
    <row r="2" spans="1:6" x14ac:dyDescent="0.2">
      <c r="A2" s="19" t="s">
        <v>6</v>
      </c>
      <c r="B2" s="19" t="s">
        <v>1357</v>
      </c>
      <c r="C2" s="19">
        <v>1</v>
      </c>
      <c r="D2" s="19">
        <v>2024</v>
      </c>
      <c r="E2" s="19" t="s">
        <v>1874</v>
      </c>
    </row>
    <row r="3" spans="1:6" x14ac:dyDescent="0.2">
      <c r="A3" s="19" t="s">
        <v>23</v>
      </c>
      <c r="B3" s="19" t="s">
        <v>1359</v>
      </c>
      <c r="C3" s="19">
        <v>1</v>
      </c>
      <c r="D3" s="19">
        <v>2024</v>
      </c>
      <c r="E3" s="19" t="s">
        <v>1875</v>
      </c>
    </row>
    <row r="4" spans="1:6" x14ac:dyDescent="0.2">
      <c r="A4" s="19" t="s">
        <v>21</v>
      </c>
      <c r="B4" s="19" t="s">
        <v>1360</v>
      </c>
      <c r="C4" s="19">
        <v>1</v>
      </c>
      <c r="D4" s="19">
        <v>2024</v>
      </c>
      <c r="E4" s="19" t="s">
        <v>1876</v>
      </c>
      <c r="F4" s="19">
        <v>2</v>
      </c>
    </row>
    <row r="5" spans="1:6" x14ac:dyDescent="0.2">
      <c r="A5" s="19" t="s">
        <v>1</v>
      </c>
      <c r="B5" s="19" t="s">
        <v>1361</v>
      </c>
      <c r="C5" s="19">
        <v>1</v>
      </c>
      <c r="D5" s="19">
        <v>2024</v>
      </c>
      <c r="E5" s="19" t="s">
        <v>1877</v>
      </c>
    </row>
    <row r="6" spans="1:6" x14ac:dyDescent="0.2">
      <c r="A6" s="19" t="s">
        <v>24</v>
      </c>
      <c r="B6" s="19" t="s">
        <v>1362</v>
      </c>
      <c r="C6" s="19">
        <v>1</v>
      </c>
      <c r="D6" s="19">
        <v>2024</v>
      </c>
      <c r="E6" s="19" t="s">
        <v>1878</v>
      </c>
    </row>
    <row r="7" spans="1:6" x14ac:dyDescent="0.2">
      <c r="A7" s="19" t="s">
        <v>29</v>
      </c>
      <c r="B7" s="19" t="s">
        <v>1363</v>
      </c>
      <c r="C7" s="19">
        <v>1</v>
      </c>
      <c r="D7" s="19">
        <v>2024</v>
      </c>
      <c r="E7" s="19" t="s">
        <v>1879</v>
      </c>
    </row>
    <row r="8" spans="1:6" x14ac:dyDescent="0.2">
      <c r="A8" s="19" t="s">
        <v>14</v>
      </c>
      <c r="B8" s="19" t="s">
        <v>1364</v>
      </c>
      <c r="C8" s="19">
        <v>1</v>
      </c>
      <c r="D8" s="19">
        <v>2024</v>
      </c>
      <c r="E8" s="19" t="s">
        <v>1880</v>
      </c>
    </row>
    <row r="9" spans="1:6" x14ac:dyDescent="0.2">
      <c r="A9" s="19" t="s">
        <v>28</v>
      </c>
      <c r="B9" s="19" t="s">
        <v>1365</v>
      </c>
      <c r="C9" s="19">
        <v>1</v>
      </c>
      <c r="D9" s="19">
        <v>2024</v>
      </c>
      <c r="E9" s="19" t="s">
        <v>1881</v>
      </c>
    </row>
    <row r="10" spans="1:6" x14ac:dyDescent="0.2">
      <c r="A10" s="19" t="s">
        <v>18</v>
      </c>
      <c r="B10" s="19" t="s">
        <v>1366</v>
      </c>
      <c r="C10" s="19">
        <v>1</v>
      </c>
      <c r="D10" s="19">
        <v>2024</v>
      </c>
      <c r="E10" s="19" t="s">
        <v>1882</v>
      </c>
      <c r="F10" s="19">
        <v>1</v>
      </c>
    </row>
    <row r="11" spans="1:6" x14ac:dyDescent="0.2">
      <c r="A11" s="19" t="s">
        <v>11</v>
      </c>
      <c r="B11" s="19" t="s">
        <v>1367</v>
      </c>
      <c r="C11" s="19">
        <v>1</v>
      </c>
      <c r="D11" s="19">
        <v>2024</v>
      </c>
      <c r="E11" s="19" t="s">
        <v>1883</v>
      </c>
    </row>
    <row r="12" spans="1:6" x14ac:dyDescent="0.2">
      <c r="A12" s="19" t="s">
        <v>30</v>
      </c>
      <c r="B12" s="19" t="s">
        <v>1368</v>
      </c>
      <c r="C12" s="19">
        <v>1</v>
      </c>
      <c r="D12" s="19">
        <v>2024</v>
      </c>
      <c r="E12" s="19" t="s">
        <v>1884</v>
      </c>
    </row>
    <row r="13" spans="1:6" x14ac:dyDescent="0.2">
      <c r="A13" s="19" t="s">
        <v>16</v>
      </c>
      <c r="B13" s="19" t="s">
        <v>1369</v>
      </c>
      <c r="C13" s="19">
        <v>1</v>
      </c>
      <c r="D13" s="19">
        <v>2024</v>
      </c>
      <c r="E13" s="19" t="s">
        <v>1885</v>
      </c>
    </row>
    <row r="14" spans="1:6" x14ac:dyDescent="0.2">
      <c r="A14" s="19" t="s">
        <v>20</v>
      </c>
      <c r="B14" s="19" t="s">
        <v>1370</v>
      </c>
      <c r="C14" s="19">
        <v>1</v>
      </c>
      <c r="D14" s="19">
        <v>2024</v>
      </c>
      <c r="E14" s="19" t="s">
        <v>1886</v>
      </c>
    </row>
    <row r="15" spans="1:6" x14ac:dyDescent="0.2">
      <c r="A15" s="19" t="s">
        <v>25</v>
      </c>
      <c r="B15" s="19" t="s">
        <v>1371</v>
      </c>
      <c r="C15" s="19">
        <v>1</v>
      </c>
      <c r="D15" s="19">
        <v>2024</v>
      </c>
      <c r="E15" s="19" t="s">
        <v>1887</v>
      </c>
    </row>
    <row r="16" spans="1:6" x14ac:dyDescent="0.2">
      <c r="A16" s="19" t="s">
        <v>22</v>
      </c>
      <c r="B16" s="19" t="s">
        <v>1372</v>
      </c>
      <c r="C16" s="19">
        <v>1</v>
      </c>
      <c r="D16" s="19">
        <v>2024</v>
      </c>
      <c r="E16" s="19" t="s">
        <v>1888</v>
      </c>
    </row>
    <row r="17" spans="1:6" x14ac:dyDescent="0.2">
      <c r="A17" s="19" t="s">
        <v>32</v>
      </c>
      <c r="B17" s="19" t="s">
        <v>1373</v>
      </c>
      <c r="C17" s="19">
        <v>1</v>
      </c>
      <c r="D17" s="19">
        <v>2024</v>
      </c>
      <c r="E17" s="19" t="s">
        <v>1889</v>
      </c>
    </row>
    <row r="18" spans="1:6" x14ac:dyDescent="0.2">
      <c r="A18" s="19" t="s">
        <v>34</v>
      </c>
      <c r="B18" s="19" t="s">
        <v>1374</v>
      </c>
      <c r="C18" s="19">
        <v>1</v>
      </c>
      <c r="D18" s="19">
        <v>2024</v>
      </c>
      <c r="E18" s="19" t="s">
        <v>1890</v>
      </c>
      <c r="F18" s="19">
        <v>1</v>
      </c>
    </row>
    <row r="19" spans="1:6" x14ac:dyDescent="0.2">
      <c r="A19" s="19" t="s">
        <v>26</v>
      </c>
      <c r="B19" s="19" t="s">
        <v>1375</v>
      </c>
      <c r="C19" s="19">
        <v>1</v>
      </c>
      <c r="D19" s="19">
        <v>2024</v>
      </c>
      <c r="E19" s="19" t="s">
        <v>1891</v>
      </c>
    </row>
    <row r="20" spans="1:6" x14ac:dyDescent="0.2">
      <c r="A20" s="19" t="s">
        <v>27</v>
      </c>
      <c r="B20" s="19" t="s">
        <v>1376</v>
      </c>
      <c r="C20" s="19">
        <v>1</v>
      </c>
      <c r="D20" s="19">
        <v>2024</v>
      </c>
      <c r="E20" s="19" t="s">
        <v>1892</v>
      </c>
    </row>
    <row r="21" spans="1:6" x14ac:dyDescent="0.2">
      <c r="A21" s="19" t="s">
        <v>31</v>
      </c>
      <c r="B21" s="19" t="s">
        <v>1358</v>
      </c>
      <c r="C21" s="19">
        <v>1</v>
      </c>
      <c r="D21" s="19">
        <v>2024</v>
      </c>
      <c r="E21" s="19" t="s">
        <v>1893</v>
      </c>
    </row>
    <row r="22" spans="1:6" x14ac:dyDescent="0.2">
      <c r="A22" s="19" t="s">
        <v>33</v>
      </c>
      <c r="B22" s="19" t="s">
        <v>1377</v>
      </c>
      <c r="C22" s="19">
        <v>1</v>
      </c>
      <c r="D22" s="19">
        <v>2024</v>
      </c>
      <c r="E22" s="19" t="s">
        <v>1894</v>
      </c>
      <c r="F22" s="19">
        <v>2</v>
      </c>
    </row>
    <row r="23" spans="1:6" x14ac:dyDescent="0.2">
      <c r="A23" s="19" t="s">
        <v>6</v>
      </c>
      <c r="B23" s="19" t="s">
        <v>1357</v>
      </c>
      <c r="C23" s="19">
        <v>2</v>
      </c>
      <c r="D23" s="19">
        <v>2024</v>
      </c>
      <c r="E23" s="19" t="s">
        <v>1895</v>
      </c>
      <c r="F23" s="19">
        <v>3</v>
      </c>
    </row>
    <row r="24" spans="1:6" x14ac:dyDescent="0.2">
      <c r="A24" s="19" t="s">
        <v>23</v>
      </c>
      <c r="B24" s="19" t="s">
        <v>1359</v>
      </c>
      <c r="C24" s="19">
        <v>2</v>
      </c>
      <c r="D24" s="19">
        <v>2024</v>
      </c>
      <c r="E24" s="19" t="s">
        <v>1896</v>
      </c>
    </row>
    <row r="25" spans="1:6" x14ac:dyDescent="0.2">
      <c r="A25" s="19" t="s">
        <v>21</v>
      </c>
      <c r="B25" s="19" t="s">
        <v>1360</v>
      </c>
      <c r="C25" s="19">
        <v>2</v>
      </c>
      <c r="D25" s="19">
        <v>2024</v>
      </c>
      <c r="E25" s="19" t="s">
        <v>1897</v>
      </c>
      <c r="F25" s="19">
        <v>3</v>
      </c>
    </row>
    <row r="26" spans="1:6" x14ac:dyDescent="0.2">
      <c r="A26" s="19" t="s">
        <v>1</v>
      </c>
      <c r="B26" s="19" t="s">
        <v>1361</v>
      </c>
      <c r="C26" s="19">
        <v>2</v>
      </c>
      <c r="D26" s="19">
        <v>2024</v>
      </c>
      <c r="E26" s="19" t="s">
        <v>1898</v>
      </c>
    </row>
    <row r="27" spans="1:6" x14ac:dyDescent="0.2">
      <c r="A27" s="19" t="s">
        <v>24</v>
      </c>
      <c r="B27" s="19" t="s">
        <v>1362</v>
      </c>
      <c r="C27" s="19">
        <v>2</v>
      </c>
      <c r="D27" s="19">
        <v>2024</v>
      </c>
      <c r="E27" s="19" t="s">
        <v>1899</v>
      </c>
    </row>
    <row r="28" spans="1:6" x14ac:dyDescent="0.2">
      <c r="A28" s="19" t="s">
        <v>29</v>
      </c>
      <c r="B28" s="19" t="s">
        <v>1363</v>
      </c>
      <c r="C28" s="19">
        <v>2</v>
      </c>
      <c r="D28" s="19">
        <v>2024</v>
      </c>
      <c r="E28" s="19" t="s">
        <v>1900</v>
      </c>
      <c r="F28" s="19">
        <v>2</v>
      </c>
    </row>
    <row r="29" spans="1:6" x14ac:dyDescent="0.2">
      <c r="A29" s="19" t="s">
        <v>14</v>
      </c>
      <c r="B29" s="19" t="s">
        <v>1364</v>
      </c>
      <c r="C29" s="19">
        <v>2</v>
      </c>
      <c r="D29" s="19">
        <v>2024</v>
      </c>
      <c r="E29" s="19" t="s">
        <v>1901</v>
      </c>
    </row>
    <row r="30" spans="1:6" x14ac:dyDescent="0.2">
      <c r="A30" s="19" t="s">
        <v>28</v>
      </c>
      <c r="B30" s="19" t="s">
        <v>1365</v>
      </c>
      <c r="C30" s="19">
        <v>2</v>
      </c>
      <c r="D30" s="19">
        <v>2024</v>
      </c>
      <c r="E30" s="19" t="s">
        <v>1902</v>
      </c>
    </row>
    <row r="31" spans="1:6" x14ac:dyDescent="0.2">
      <c r="A31" s="19" t="s">
        <v>18</v>
      </c>
      <c r="B31" s="19" t="s">
        <v>1366</v>
      </c>
      <c r="C31" s="19">
        <v>2</v>
      </c>
      <c r="D31" s="19">
        <v>2024</v>
      </c>
      <c r="E31" s="19" t="s">
        <v>1903</v>
      </c>
      <c r="F31" s="19">
        <v>1</v>
      </c>
    </row>
    <row r="32" spans="1:6" x14ac:dyDescent="0.2">
      <c r="A32" s="19" t="s">
        <v>11</v>
      </c>
      <c r="B32" s="19" t="s">
        <v>1367</v>
      </c>
      <c r="C32" s="19">
        <v>2</v>
      </c>
      <c r="D32" s="19">
        <v>2024</v>
      </c>
      <c r="E32" s="19" t="s">
        <v>1904</v>
      </c>
      <c r="F32" s="19">
        <v>1</v>
      </c>
    </row>
    <row r="33" spans="1:6" x14ac:dyDescent="0.2">
      <c r="A33" s="19" t="s">
        <v>30</v>
      </c>
      <c r="B33" s="19" t="s">
        <v>1368</v>
      </c>
      <c r="C33" s="19">
        <v>2</v>
      </c>
      <c r="D33" s="19">
        <v>2024</v>
      </c>
      <c r="E33" s="19" t="s">
        <v>1905</v>
      </c>
    </row>
    <row r="34" spans="1:6" x14ac:dyDescent="0.2">
      <c r="A34" s="19" t="s">
        <v>16</v>
      </c>
      <c r="B34" s="19" t="s">
        <v>1369</v>
      </c>
      <c r="C34" s="19">
        <v>2</v>
      </c>
      <c r="D34" s="19">
        <v>2024</v>
      </c>
      <c r="E34" s="19" t="s">
        <v>1906</v>
      </c>
    </row>
    <row r="35" spans="1:6" x14ac:dyDescent="0.2">
      <c r="A35" s="19" t="s">
        <v>20</v>
      </c>
      <c r="B35" s="19" t="s">
        <v>1370</v>
      </c>
      <c r="C35" s="19">
        <v>2</v>
      </c>
      <c r="D35" s="19">
        <v>2024</v>
      </c>
      <c r="E35" s="19" t="s">
        <v>1907</v>
      </c>
    </row>
    <row r="36" spans="1:6" x14ac:dyDescent="0.2">
      <c r="A36" s="19" t="s">
        <v>25</v>
      </c>
      <c r="B36" s="19" t="s">
        <v>1371</v>
      </c>
      <c r="C36" s="19">
        <v>2</v>
      </c>
      <c r="D36" s="19">
        <v>2024</v>
      </c>
      <c r="E36" s="19" t="s">
        <v>1908</v>
      </c>
    </row>
    <row r="37" spans="1:6" x14ac:dyDescent="0.2">
      <c r="A37" s="19" t="s">
        <v>22</v>
      </c>
      <c r="B37" s="19" t="s">
        <v>1372</v>
      </c>
      <c r="C37" s="19">
        <v>2</v>
      </c>
      <c r="D37" s="19">
        <v>2024</v>
      </c>
      <c r="E37" s="19" t="s">
        <v>1909</v>
      </c>
    </row>
    <row r="38" spans="1:6" x14ac:dyDescent="0.2">
      <c r="A38" s="19" t="s">
        <v>32</v>
      </c>
      <c r="B38" s="19" t="s">
        <v>1373</v>
      </c>
      <c r="C38" s="19">
        <v>2</v>
      </c>
      <c r="D38" s="19">
        <v>2024</v>
      </c>
      <c r="E38" s="19" t="s">
        <v>1910</v>
      </c>
    </row>
    <row r="39" spans="1:6" x14ac:dyDescent="0.2">
      <c r="A39" s="19" t="s">
        <v>34</v>
      </c>
      <c r="B39" s="19" t="s">
        <v>1374</v>
      </c>
      <c r="C39" s="19">
        <v>2</v>
      </c>
      <c r="D39" s="19">
        <v>2024</v>
      </c>
      <c r="E39" s="19" t="s">
        <v>1911</v>
      </c>
    </row>
    <row r="40" spans="1:6" x14ac:dyDescent="0.2">
      <c r="A40" s="19" t="s">
        <v>26</v>
      </c>
      <c r="B40" s="19" t="s">
        <v>1375</v>
      </c>
      <c r="C40" s="19">
        <v>2</v>
      </c>
      <c r="D40" s="19">
        <v>2024</v>
      </c>
      <c r="E40" s="19" t="s">
        <v>1912</v>
      </c>
    </row>
    <row r="41" spans="1:6" x14ac:dyDescent="0.2">
      <c r="A41" s="19" t="s">
        <v>27</v>
      </c>
      <c r="B41" s="19" t="s">
        <v>1376</v>
      </c>
      <c r="C41" s="19">
        <v>2</v>
      </c>
      <c r="D41" s="19">
        <v>2024</v>
      </c>
      <c r="E41" s="19" t="s">
        <v>1913</v>
      </c>
    </row>
    <row r="42" spans="1:6" x14ac:dyDescent="0.2">
      <c r="A42" s="19" t="s">
        <v>31</v>
      </c>
      <c r="B42" s="19" t="s">
        <v>1358</v>
      </c>
      <c r="C42" s="19">
        <v>2</v>
      </c>
      <c r="D42" s="19">
        <v>2024</v>
      </c>
      <c r="E42" s="19" t="s">
        <v>1914</v>
      </c>
      <c r="F42" s="19">
        <v>2</v>
      </c>
    </row>
    <row r="43" spans="1:6" x14ac:dyDescent="0.2">
      <c r="A43" s="19" t="s">
        <v>33</v>
      </c>
      <c r="B43" s="19" t="s">
        <v>1377</v>
      </c>
      <c r="C43" s="19">
        <v>2</v>
      </c>
      <c r="D43" s="19">
        <v>2024</v>
      </c>
      <c r="E43" s="19" t="s">
        <v>1915</v>
      </c>
      <c r="F43" s="19">
        <v>1</v>
      </c>
    </row>
    <row r="44" spans="1:6" x14ac:dyDescent="0.2">
      <c r="A44" s="19" t="s">
        <v>6</v>
      </c>
      <c r="B44" s="19" t="s">
        <v>1357</v>
      </c>
      <c r="C44" s="19">
        <v>3</v>
      </c>
      <c r="D44" s="19">
        <v>2024</v>
      </c>
      <c r="E44" s="19" t="s">
        <v>1916</v>
      </c>
      <c r="F44" s="19">
        <v>1</v>
      </c>
    </row>
    <row r="45" spans="1:6" x14ac:dyDescent="0.2">
      <c r="A45" s="19" t="s">
        <v>23</v>
      </c>
      <c r="B45" s="19" t="s">
        <v>1359</v>
      </c>
      <c r="C45" s="19">
        <v>3</v>
      </c>
      <c r="D45" s="19">
        <v>2024</v>
      </c>
      <c r="E45" s="19" t="s">
        <v>1917</v>
      </c>
      <c r="F45" s="19">
        <v>2</v>
      </c>
    </row>
    <row r="46" spans="1:6" x14ac:dyDescent="0.2">
      <c r="A46" s="19" t="s">
        <v>21</v>
      </c>
      <c r="B46" s="19" t="s">
        <v>1360</v>
      </c>
      <c r="C46" s="19">
        <v>3</v>
      </c>
      <c r="D46" s="19">
        <v>2024</v>
      </c>
      <c r="E46" s="19" t="s">
        <v>1918</v>
      </c>
    </row>
    <row r="47" spans="1:6" x14ac:dyDescent="0.2">
      <c r="A47" s="19" t="s">
        <v>1</v>
      </c>
      <c r="B47" s="19" t="s">
        <v>1361</v>
      </c>
      <c r="C47" s="19">
        <v>3</v>
      </c>
      <c r="D47" s="19">
        <v>2024</v>
      </c>
      <c r="E47" s="19" t="s">
        <v>1919</v>
      </c>
    </row>
    <row r="48" spans="1:6" x14ac:dyDescent="0.2">
      <c r="A48" s="19" t="s">
        <v>24</v>
      </c>
      <c r="B48" s="19" t="s">
        <v>1362</v>
      </c>
      <c r="C48" s="19">
        <v>3</v>
      </c>
      <c r="D48" s="19">
        <v>2024</v>
      </c>
      <c r="E48" s="19" t="s">
        <v>1920</v>
      </c>
      <c r="F48" s="19">
        <v>2</v>
      </c>
    </row>
    <row r="49" spans="1:6" x14ac:dyDescent="0.2">
      <c r="A49" s="19" t="s">
        <v>29</v>
      </c>
      <c r="B49" s="19" t="s">
        <v>1363</v>
      </c>
      <c r="C49" s="19">
        <v>3</v>
      </c>
      <c r="D49" s="19">
        <v>2024</v>
      </c>
      <c r="E49" s="19" t="s">
        <v>1921</v>
      </c>
    </row>
    <row r="50" spans="1:6" x14ac:dyDescent="0.2">
      <c r="A50" s="19" t="s">
        <v>14</v>
      </c>
      <c r="B50" s="19" t="s">
        <v>1364</v>
      </c>
      <c r="C50" s="19">
        <v>3</v>
      </c>
      <c r="D50" s="19">
        <v>2024</v>
      </c>
      <c r="E50" s="19" t="s">
        <v>1922</v>
      </c>
      <c r="F50" s="19">
        <v>1</v>
      </c>
    </row>
    <row r="51" spans="1:6" x14ac:dyDescent="0.2">
      <c r="A51" s="19" t="s">
        <v>28</v>
      </c>
      <c r="B51" s="19" t="s">
        <v>1365</v>
      </c>
      <c r="C51" s="19">
        <v>3</v>
      </c>
      <c r="D51" s="19">
        <v>2024</v>
      </c>
      <c r="E51" s="19" t="s">
        <v>1923</v>
      </c>
      <c r="F51" s="19">
        <v>3</v>
      </c>
    </row>
    <row r="52" spans="1:6" x14ac:dyDescent="0.2">
      <c r="A52" s="19" t="s">
        <v>18</v>
      </c>
      <c r="B52" s="19" t="s">
        <v>1366</v>
      </c>
      <c r="C52" s="19">
        <v>3</v>
      </c>
      <c r="D52" s="19">
        <v>2024</v>
      </c>
      <c r="E52" s="19" t="s">
        <v>1924</v>
      </c>
      <c r="F52" s="19">
        <v>3</v>
      </c>
    </row>
    <row r="53" spans="1:6" x14ac:dyDescent="0.2">
      <c r="A53" s="19" t="s">
        <v>11</v>
      </c>
      <c r="B53" s="19" t="s">
        <v>1367</v>
      </c>
      <c r="C53" s="19">
        <v>3</v>
      </c>
      <c r="D53" s="19">
        <v>2024</v>
      </c>
      <c r="E53" s="19" t="s">
        <v>1925</v>
      </c>
      <c r="F53" s="19">
        <v>1</v>
      </c>
    </row>
    <row r="54" spans="1:6" x14ac:dyDescent="0.2">
      <c r="A54" s="19" t="s">
        <v>30</v>
      </c>
      <c r="B54" s="19" t="s">
        <v>1368</v>
      </c>
      <c r="C54" s="19">
        <v>3</v>
      </c>
      <c r="D54" s="19">
        <v>2024</v>
      </c>
      <c r="E54" s="19" t="s">
        <v>1926</v>
      </c>
    </row>
    <row r="55" spans="1:6" x14ac:dyDescent="0.2">
      <c r="A55" s="19" t="s">
        <v>16</v>
      </c>
      <c r="B55" s="19" t="s">
        <v>1369</v>
      </c>
      <c r="C55" s="19">
        <v>3</v>
      </c>
      <c r="D55" s="19">
        <v>2024</v>
      </c>
      <c r="E55" s="19" t="s">
        <v>1927</v>
      </c>
    </row>
    <row r="56" spans="1:6" x14ac:dyDescent="0.2">
      <c r="A56" s="19" t="s">
        <v>20</v>
      </c>
      <c r="B56" s="19" t="s">
        <v>1370</v>
      </c>
      <c r="C56" s="19">
        <v>3</v>
      </c>
      <c r="D56" s="19">
        <v>2024</v>
      </c>
      <c r="E56" s="19" t="s">
        <v>1928</v>
      </c>
    </row>
    <row r="57" spans="1:6" x14ac:dyDescent="0.2">
      <c r="A57" s="19" t="s">
        <v>25</v>
      </c>
      <c r="B57" s="19" t="s">
        <v>1371</v>
      </c>
      <c r="C57" s="19">
        <v>3</v>
      </c>
      <c r="D57" s="19">
        <v>2024</v>
      </c>
      <c r="E57" s="19" t="s">
        <v>1929</v>
      </c>
    </row>
    <row r="58" spans="1:6" x14ac:dyDescent="0.2">
      <c r="A58" s="19" t="s">
        <v>22</v>
      </c>
      <c r="B58" s="19" t="s">
        <v>1372</v>
      </c>
      <c r="C58" s="19">
        <v>3</v>
      </c>
      <c r="D58" s="19">
        <v>2024</v>
      </c>
      <c r="E58" s="19" t="s">
        <v>1930</v>
      </c>
      <c r="F58" s="19">
        <v>7</v>
      </c>
    </row>
    <row r="59" spans="1:6" x14ac:dyDescent="0.2">
      <c r="A59" s="19" t="s">
        <v>32</v>
      </c>
      <c r="B59" s="19" t="s">
        <v>1373</v>
      </c>
      <c r="C59" s="19">
        <v>3</v>
      </c>
      <c r="D59" s="19">
        <v>2024</v>
      </c>
      <c r="E59" s="19" t="s">
        <v>1931</v>
      </c>
    </row>
    <row r="60" spans="1:6" x14ac:dyDescent="0.2">
      <c r="A60" s="19" t="s">
        <v>34</v>
      </c>
      <c r="B60" s="19" t="s">
        <v>1374</v>
      </c>
      <c r="C60" s="19">
        <v>3</v>
      </c>
      <c r="D60" s="19">
        <v>2024</v>
      </c>
      <c r="E60" s="19" t="s">
        <v>1932</v>
      </c>
    </row>
    <row r="61" spans="1:6" x14ac:dyDescent="0.2">
      <c r="A61" s="19" t="s">
        <v>26</v>
      </c>
      <c r="B61" s="19" t="s">
        <v>1375</v>
      </c>
      <c r="C61" s="19">
        <v>3</v>
      </c>
      <c r="D61" s="19">
        <v>2024</v>
      </c>
      <c r="E61" s="19" t="s">
        <v>1933</v>
      </c>
      <c r="F61" s="19">
        <v>1</v>
      </c>
    </row>
    <row r="62" spans="1:6" x14ac:dyDescent="0.2">
      <c r="A62" s="19" t="s">
        <v>27</v>
      </c>
      <c r="B62" s="19" t="s">
        <v>1376</v>
      </c>
      <c r="C62" s="19">
        <v>3</v>
      </c>
      <c r="D62" s="19">
        <v>2024</v>
      </c>
      <c r="E62" s="19" t="s">
        <v>1934</v>
      </c>
    </row>
    <row r="63" spans="1:6" x14ac:dyDescent="0.2">
      <c r="A63" s="19" t="s">
        <v>31</v>
      </c>
      <c r="B63" s="19" t="s">
        <v>1358</v>
      </c>
      <c r="C63" s="19">
        <v>3</v>
      </c>
      <c r="D63" s="19">
        <v>2024</v>
      </c>
      <c r="E63" s="19" t="s">
        <v>1935</v>
      </c>
    </row>
    <row r="64" spans="1:6" x14ac:dyDescent="0.2">
      <c r="A64" s="19" t="s">
        <v>33</v>
      </c>
      <c r="B64" s="19" t="s">
        <v>1377</v>
      </c>
      <c r="C64" s="19">
        <v>3</v>
      </c>
      <c r="D64" s="19">
        <v>2024</v>
      </c>
      <c r="E64" s="19" t="s">
        <v>1936</v>
      </c>
      <c r="F64" s="19">
        <v>2</v>
      </c>
    </row>
    <row r="65" spans="1:6" x14ac:dyDescent="0.2">
      <c r="A65" s="19" t="s">
        <v>6</v>
      </c>
      <c r="B65" s="19" t="s">
        <v>1357</v>
      </c>
      <c r="C65" s="19">
        <v>4</v>
      </c>
      <c r="D65" s="19">
        <v>2024</v>
      </c>
      <c r="E65" s="19" t="s">
        <v>1937</v>
      </c>
    </row>
    <row r="66" spans="1:6" x14ac:dyDescent="0.2">
      <c r="A66" s="19" t="s">
        <v>23</v>
      </c>
      <c r="B66" s="19" t="s">
        <v>1359</v>
      </c>
      <c r="C66" s="19">
        <v>4</v>
      </c>
      <c r="D66" s="19">
        <v>2024</v>
      </c>
      <c r="E66" s="19" t="s">
        <v>1938</v>
      </c>
    </row>
    <row r="67" spans="1:6" x14ac:dyDescent="0.2">
      <c r="A67" s="19" t="s">
        <v>21</v>
      </c>
      <c r="B67" s="19" t="s">
        <v>1360</v>
      </c>
      <c r="C67" s="19">
        <v>4</v>
      </c>
      <c r="D67" s="19">
        <v>2024</v>
      </c>
      <c r="E67" s="19" t="s">
        <v>1939</v>
      </c>
    </row>
    <row r="68" spans="1:6" x14ac:dyDescent="0.2">
      <c r="A68" s="19" t="s">
        <v>1</v>
      </c>
      <c r="B68" s="19" t="s">
        <v>1361</v>
      </c>
      <c r="C68" s="19">
        <v>4</v>
      </c>
      <c r="D68" s="19">
        <v>2024</v>
      </c>
      <c r="E68" s="19" t="s">
        <v>1940</v>
      </c>
    </row>
    <row r="69" spans="1:6" x14ac:dyDescent="0.2">
      <c r="A69" s="19" t="s">
        <v>24</v>
      </c>
      <c r="B69" s="19" t="s">
        <v>1362</v>
      </c>
      <c r="C69" s="19">
        <v>4</v>
      </c>
      <c r="D69" s="19">
        <v>2024</v>
      </c>
      <c r="E69" s="19" t="s">
        <v>1941</v>
      </c>
    </row>
    <row r="70" spans="1:6" x14ac:dyDescent="0.2">
      <c r="A70" s="19" t="s">
        <v>29</v>
      </c>
      <c r="B70" s="19" t="s">
        <v>1363</v>
      </c>
      <c r="C70" s="19">
        <v>4</v>
      </c>
      <c r="D70" s="19">
        <v>2024</v>
      </c>
      <c r="E70" s="19" t="s">
        <v>1942</v>
      </c>
      <c r="F70" s="19">
        <v>1</v>
      </c>
    </row>
    <row r="71" spans="1:6" x14ac:dyDescent="0.2">
      <c r="A71" s="19" t="s">
        <v>14</v>
      </c>
      <c r="B71" s="19" t="s">
        <v>1364</v>
      </c>
      <c r="C71" s="19">
        <v>4</v>
      </c>
      <c r="D71" s="19">
        <v>2024</v>
      </c>
      <c r="E71" s="19" t="s">
        <v>1943</v>
      </c>
      <c r="F71" s="19">
        <v>4</v>
      </c>
    </row>
    <row r="72" spans="1:6" x14ac:dyDescent="0.2">
      <c r="A72" s="19" t="s">
        <v>28</v>
      </c>
      <c r="B72" s="19" t="s">
        <v>1365</v>
      </c>
      <c r="C72" s="19">
        <v>4</v>
      </c>
      <c r="D72" s="19">
        <v>2024</v>
      </c>
      <c r="E72" s="19" t="s">
        <v>1944</v>
      </c>
      <c r="F72" s="19">
        <v>4</v>
      </c>
    </row>
    <row r="73" spans="1:6" x14ac:dyDescent="0.2">
      <c r="A73" s="19" t="s">
        <v>18</v>
      </c>
      <c r="B73" s="19" t="s">
        <v>1366</v>
      </c>
      <c r="C73" s="19">
        <v>4</v>
      </c>
      <c r="D73" s="19">
        <v>2024</v>
      </c>
      <c r="E73" s="19" t="s">
        <v>1945</v>
      </c>
    </row>
    <row r="74" spans="1:6" x14ac:dyDescent="0.2">
      <c r="A74" s="19" t="s">
        <v>11</v>
      </c>
      <c r="B74" s="19" t="s">
        <v>1367</v>
      </c>
      <c r="C74" s="19">
        <v>4</v>
      </c>
      <c r="D74" s="19">
        <v>2024</v>
      </c>
      <c r="E74" s="19" t="s">
        <v>1946</v>
      </c>
    </row>
    <row r="75" spans="1:6" x14ac:dyDescent="0.2">
      <c r="A75" s="19" t="s">
        <v>30</v>
      </c>
      <c r="B75" s="19" t="s">
        <v>1368</v>
      </c>
      <c r="C75" s="19">
        <v>4</v>
      </c>
      <c r="D75" s="19">
        <v>2024</v>
      </c>
      <c r="E75" s="19" t="s">
        <v>1947</v>
      </c>
    </row>
    <row r="76" spans="1:6" x14ac:dyDescent="0.2">
      <c r="A76" s="19" t="s">
        <v>16</v>
      </c>
      <c r="B76" s="19" t="s">
        <v>1369</v>
      </c>
      <c r="C76" s="19">
        <v>4</v>
      </c>
      <c r="D76" s="19">
        <v>2024</v>
      </c>
      <c r="E76" s="19" t="s">
        <v>1948</v>
      </c>
    </row>
    <row r="77" spans="1:6" x14ac:dyDescent="0.2">
      <c r="A77" s="19" t="s">
        <v>20</v>
      </c>
      <c r="B77" s="19" t="s">
        <v>1370</v>
      </c>
      <c r="C77" s="19">
        <v>4</v>
      </c>
      <c r="D77" s="19">
        <v>2024</v>
      </c>
      <c r="E77" s="19" t="s">
        <v>1949</v>
      </c>
    </row>
    <row r="78" spans="1:6" x14ac:dyDescent="0.2">
      <c r="A78" s="19" t="s">
        <v>25</v>
      </c>
      <c r="B78" s="19" t="s">
        <v>1371</v>
      </c>
      <c r="C78" s="19">
        <v>4</v>
      </c>
      <c r="D78" s="19">
        <v>2024</v>
      </c>
      <c r="E78" s="19" t="s">
        <v>1950</v>
      </c>
      <c r="F78" s="19">
        <v>8</v>
      </c>
    </row>
    <row r="79" spans="1:6" x14ac:dyDescent="0.2">
      <c r="A79" s="19" t="s">
        <v>22</v>
      </c>
      <c r="B79" s="19" t="s">
        <v>1372</v>
      </c>
      <c r="C79" s="19">
        <v>4</v>
      </c>
      <c r="D79" s="19">
        <v>2024</v>
      </c>
      <c r="E79" s="19" t="s">
        <v>1951</v>
      </c>
    </row>
    <row r="80" spans="1:6" x14ac:dyDescent="0.2">
      <c r="A80" s="19" t="s">
        <v>32</v>
      </c>
      <c r="B80" s="19" t="s">
        <v>1373</v>
      </c>
      <c r="C80" s="19">
        <v>4</v>
      </c>
      <c r="D80" s="19">
        <v>2024</v>
      </c>
      <c r="E80" s="19" t="s">
        <v>1952</v>
      </c>
    </row>
    <row r="81" spans="1:6" x14ac:dyDescent="0.2">
      <c r="A81" s="19" t="s">
        <v>34</v>
      </c>
      <c r="B81" s="19" t="s">
        <v>1374</v>
      </c>
      <c r="C81" s="19">
        <v>4</v>
      </c>
      <c r="D81" s="19">
        <v>2024</v>
      </c>
      <c r="E81" s="19" t="s">
        <v>1953</v>
      </c>
      <c r="F81" s="19">
        <v>1</v>
      </c>
    </row>
    <row r="82" spans="1:6" x14ac:dyDescent="0.2">
      <c r="A82" s="19" t="s">
        <v>26</v>
      </c>
      <c r="B82" s="19" t="s">
        <v>1375</v>
      </c>
      <c r="C82" s="19">
        <v>4</v>
      </c>
      <c r="D82" s="19">
        <v>2024</v>
      </c>
      <c r="E82" s="19" t="s">
        <v>1954</v>
      </c>
      <c r="F82" s="19">
        <v>2</v>
      </c>
    </row>
    <row r="83" spans="1:6" x14ac:dyDescent="0.2">
      <c r="A83" s="19" t="s">
        <v>27</v>
      </c>
      <c r="B83" s="19" t="s">
        <v>1376</v>
      </c>
      <c r="C83" s="19">
        <v>4</v>
      </c>
      <c r="D83" s="19">
        <v>2024</v>
      </c>
      <c r="E83" s="19" t="s">
        <v>1955</v>
      </c>
    </row>
    <row r="84" spans="1:6" x14ac:dyDescent="0.2">
      <c r="A84" s="19" t="s">
        <v>31</v>
      </c>
      <c r="B84" s="19" t="s">
        <v>1358</v>
      </c>
      <c r="C84" s="19">
        <v>4</v>
      </c>
      <c r="D84" s="19">
        <v>2024</v>
      </c>
      <c r="E84" s="19" t="s">
        <v>1956</v>
      </c>
    </row>
    <row r="85" spans="1:6" x14ac:dyDescent="0.2">
      <c r="A85" s="19" t="s">
        <v>33</v>
      </c>
      <c r="B85" s="19" t="s">
        <v>1377</v>
      </c>
      <c r="C85" s="19">
        <v>4</v>
      </c>
      <c r="D85" s="19">
        <v>2024</v>
      </c>
      <c r="E85" s="19" t="s">
        <v>1957</v>
      </c>
      <c r="F85" s="19">
        <v>4</v>
      </c>
    </row>
    <row r="86" spans="1:6" x14ac:dyDescent="0.2">
      <c r="A86" s="19" t="s">
        <v>6</v>
      </c>
      <c r="B86" s="19" t="s">
        <v>1357</v>
      </c>
      <c r="C86" s="19">
        <v>5</v>
      </c>
      <c r="D86" s="19">
        <v>2024</v>
      </c>
      <c r="E86" s="19" t="s">
        <v>1958</v>
      </c>
    </row>
    <row r="87" spans="1:6" x14ac:dyDescent="0.2">
      <c r="A87" s="19" t="s">
        <v>23</v>
      </c>
      <c r="B87" s="19" t="s">
        <v>1359</v>
      </c>
      <c r="C87" s="19">
        <v>5</v>
      </c>
      <c r="D87" s="19">
        <v>2024</v>
      </c>
      <c r="E87" s="19" t="s">
        <v>1959</v>
      </c>
    </row>
    <row r="88" spans="1:6" x14ac:dyDescent="0.2">
      <c r="A88" s="19" t="s">
        <v>21</v>
      </c>
      <c r="B88" s="19" t="s">
        <v>1360</v>
      </c>
      <c r="C88" s="19">
        <v>5</v>
      </c>
      <c r="D88" s="19">
        <v>2024</v>
      </c>
      <c r="E88" s="19" t="s">
        <v>1960</v>
      </c>
      <c r="F88" s="19">
        <v>2</v>
      </c>
    </row>
    <row r="89" spans="1:6" x14ac:dyDescent="0.2">
      <c r="A89" s="19" t="s">
        <v>1</v>
      </c>
      <c r="B89" s="19" t="s">
        <v>1361</v>
      </c>
      <c r="C89" s="19">
        <v>5</v>
      </c>
      <c r="D89" s="19">
        <v>2024</v>
      </c>
      <c r="E89" s="19" t="s">
        <v>1961</v>
      </c>
    </row>
    <row r="90" spans="1:6" x14ac:dyDescent="0.2">
      <c r="A90" s="19" t="s">
        <v>24</v>
      </c>
      <c r="B90" s="19" t="s">
        <v>1362</v>
      </c>
      <c r="C90" s="19">
        <v>5</v>
      </c>
      <c r="D90" s="19">
        <v>2024</v>
      </c>
      <c r="E90" s="19" t="s">
        <v>1962</v>
      </c>
      <c r="F90" s="19">
        <v>2</v>
      </c>
    </row>
    <row r="91" spans="1:6" x14ac:dyDescent="0.2">
      <c r="A91" s="19" t="s">
        <v>29</v>
      </c>
      <c r="B91" s="19" t="s">
        <v>1363</v>
      </c>
      <c r="C91" s="19">
        <v>5</v>
      </c>
      <c r="D91" s="19">
        <v>2024</v>
      </c>
      <c r="E91" s="19" t="s">
        <v>1963</v>
      </c>
      <c r="F91" s="19">
        <v>1</v>
      </c>
    </row>
    <row r="92" spans="1:6" x14ac:dyDescent="0.2">
      <c r="A92" s="19" t="s">
        <v>14</v>
      </c>
      <c r="B92" s="19" t="s">
        <v>1364</v>
      </c>
      <c r="C92" s="19">
        <v>5</v>
      </c>
      <c r="D92" s="19">
        <v>2024</v>
      </c>
      <c r="E92" s="19" t="s">
        <v>1964</v>
      </c>
      <c r="F92" s="19">
        <v>1</v>
      </c>
    </row>
    <row r="93" spans="1:6" x14ac:dyDescent="0.2">
      <c r="A93" s="19" t="s">
        <v>28</v>
      </c>
      <c r="B93" s="19" t="s">
        <v>1365</v>
      </c>
      <c r="C93" s="19">
        <v>5</v>
      </c>
      <c r="D93" s="19">
        <v>2024</v>
      </c>
      <c r="E93" s="19" t="s">
        <v>1965</v>
      </c>
    </row>
    <row r="94" spans="1:6" x14ac:dyDescent="0.2">
      <c r="A94" s="19" t="s">
        <v>18</v>
      </c>
      <c r="B94" s="19" t="s">
        <v>1366</v>
      </c>
      <c r="C94" s="19">
        <v>5</v>
      </c>
      <c r="D94" s="19">
        <v>2024</v>
      </c>
      <c r="E94" s="19" t="s">
        <v>1966</v>
      </c>
    </row>
    <row r="95" spans="1:6" x14ac:dyDescent="0.2">
      <c r="A95" s="19" t="s">
        <v>11</v>
      </c>
      <c r="B95" s="19" t="s">
        <v>1367</v>
      </c>
      <c r="C95" s="19">
        <v>5</v>
      </c>
      <c r="D95" s="19">
        <v>2024</v>
      </c>
      <c r="E95" s="19" t="s">
        <v>1967</v>
      </c>
    </row>
    <row r="96" spans="1:6" x14ac:dyDescent="0.2">
      <c r="A96" s="19" t="s">
        <v>30</v>
      </c>
      <c r="B96" s="19" t="s">
        <v>1368</v>
      </c>
      <c r="C96" s="19">
        <v>5</v>
      </c>
      <c r="D96" s="19">
        <v>2024</v>
      </c>
      <c r="E96" s="19" t="s">
        <v>1968</v>
      </c>
    </row>
    <row r="97" spans="1:6" x14ac:dyDescent="0.2">
      <c r="A97" s="19" t="s">
        <v>16</v>
      </c>
      <c r="B97" s="19" t="s">
        <v>1369</v>
      </c>
      <c r="C97" s="19">
        <v>5</v>
      </c>
      <c r="D97" s="19">
        <v>2024</v>
      </c>
      <c r="E97" s="19" t="s">
        <v>1969</v>
      </c>
    </row>
    <row r="98" spans="1:6" x14ac:dyDescent="0.2">
      <c r="A98" s="19" t="s">
        <v>20</v>
      </c>
      <c r="B98" s="19" t="s">
        <v>1370</v>
      </c>
      <c r="C98" s="19">
        <v>5</v>
      </c>
      <c r="D98" s="19">
        <v>2024</v>
      </c>
      <c r="E98" s="19" t="s">
        <v>1970</v>
      </c>
      <c r="F98" s="19">
        <v>8</v>
      </c>
    </row>
    <row r="99" spans="1:6" x14ac:dyDescent="0.2">
      <c r="A99" s="19" t="s">
        <v>25</v>
      </c>
      <c r="B99" s="19" t="s">
        <v>1371</v>
      </c>
      <c r="C99" s="19">
        <v>5</v>
      </c>
      <c r="D99" s="19">
        <v>2024</v>
      </c>
      <c r="E99" s="19" t="s">
        <v>1971</v>
      </c>
    </row>
    <row r="100" spans="1:6" x14ac:dyDescent="0.2">
      <c r="A100" s="19" t="s">
        <v>22</v>
      </c>
      <c r="B100" s="19" t="s">
        <v>1372</v>
      </c>
      <c r="C100" s="19">
        <v>5</v>
      </c>
      <c r="D100" s="19">
        <v>2024</v>
      </c>
      <c r="E100" s="19" t="s">
        <v>1972</v>
      </c>
    </row>
    <row r="101" spans="1:6" x14ac:dyDescent="0.2">
      <c r="A101" s="19" t="s">
        <v>32</v>
      </c>
      <c r="B101" s="19" t="s">
        <v>1373</v>
      </c>
      <c r="C101" s="19">
        <v>5</v>
      </c>
      <c r="D101" s="19">
        <v>2024</v>
      </c>
      <c r="E101" s="19" t="s">
        <v>1973</v>
      </c>
      <c r="F101" s="19">
        <v>1</v>
      </c>
    </row>
    <row r="102" spans="1:6" x14ac:dyDescent="0.2">
      <c r="A102" s="19" t="s">
        <v>34</v>
      </c>
      <c r="B102" s="19" t="s">
        <v>1374</v>
      </c>
      <c r="C102" s="19">
        <v>5</v>
      </c>
      <c r="D102" s="19">
        <v>2024</v>
      </c>
      <c r="E102" s="19" t="s">
        <v>1974</v>
      </c>
      <c r="F102" s="19">
        <v>3</v>
      </c>
    </row>
    <row r="103" spans="1:6" x14ac:dyDescent="0.2">
      <c r="A103" s="19" t="s">
        <v>26</v>
      </c>
      <c r="B103" s="19" t="s">
        <v>1375</v>
      </c>
      <c r="C103" s="19">
        <v>5</v>
      </c>
      <c r="D103" s="19">
        <v>2024</v>
      </c>
      <c r="E103" s="19" t="s">
        <v>1975</v>
      </c>
      <c r="F103" s="19">
        <v>2</v>
      </c>
    </row>
    <row r="104" spans="1:6" x14ac:dyDescent="0.2">
      <c r="A104" s="19" t="s">
        <v>27</v>
      </c>
      <c r="B104" s="19" t="s">
        <v>1376</v>
      </c>
      <c r="C104" s="19">
        <v>5</v>
      </c>
      <c r="D104" s="19">
        <v>2024</v>
      </c>
      <c r="E104" s="19" t="s">
        <v>1976</v>
      </c>
      <c r="F104" s="19">
        <v>4</v>
      </c>
    </row>
    <row r="105" spans="1:6" x14ac:dyDescent="0.2">
      <c r="A105" s="19" t="s">
        <v>31</v>
      </c>
      <c r="B105" s="19" t="s">
        <v>1358</v>
      </c>
      <c r="C105" s="19">
        <v>5</v>
      </c>
      <c r="D105" s="19">
        <v>2024</v>
      </c>
      <c r="E105" s="19" t="s">
        <v>1977</v>
      </c>
      <c r="F105" s="19">
        <v>3</v>
      </c>
    </row>
    <row r="106" spans="1:6" x14ac:dyDescent="0.2">
      <c r="A106" s="19" t="s">
        <v>33</v>
      </c>
      <c r="B106" s="19" t="s">
        <v>1377</v>
      </c>
      <c r="C106" s="19">
        <v>5</v>
      </c>
      <c r="D106" s="19">
        <v>2024</v>
      </c>
      <c r="E106" s="19" t="s">
        <v>1978</v>
      </c>
    </row>
    <row r="107" spans="1:6" x14ac:dyDescent="0.2">
      <c r="A107" s="19" t="s">
        <v>6</v>
      </c>
      <c r="B107" s="19" t="s">
        <v>1357</v>
      </c>
      <c r="C107" s="19">
        <v>6</v>
      </c>
      <c r="D107" s="19">
        <v>2024</v>
      </c>
      <c r="E107" s="19" t="s">
        <v>1979</v>
      </c>
    </row>
    <row r="108" spans="1:6" x14ac:dyDescent="0.2">
      <c r="A108" s="19" t="s">
        <v>23</v>
      </c>
      <c r="B108" s="19" t="s">
        <v>1359</v>
      </c>
      <c r="C108" s="19">
        <v>6</v>
      </c>
      <c r="D108" s="19">
        <v>2024</v>
      </c>
      <c r="E108" s="19" t="s">
        <v>1980</v>
      </c>
      <c r="F108" s="19">
        <v>3</v>
      </c>
    </row>
    <row r="109" spans="1:6" x14ac:dyDescent="0.2">
      <c r="A109" s="19" t="s">
        <v>21</v>
      </c>
      <c r="B109" s="19" t="s">
        <v>1360</v>
      </c>
      <c r="C109" s="19">
        <v>6</v>
      </c>
      <c r="D109" s="19">
        <v>2024</v>
      </c>
      <c r="E109" s="19" t="s">
        <v>1981</v>
      </c>
      <c r="F109" s="19">
        <v>2</v>
      </c>
    </row>
    <row r="110" spans="1:6" x14ac:dyDescent="0.2">
      <c r="A110" s="19" t="s">
        <v>1</v>
      </c>
      <c r="B110" s="19" t="s">
        <v>1361</v>
      </c>
      <c r="C110" s="19">
        <v>6</v>
      </c>
      <c r="D110" s="19">
        <v>2024</v>
      </c>
      <c r="E110" s="19" t="s">
        <v>1982</v>
      </c>
      <c r="F110" s="19">
        <v>1</v>
      </c>
    </row>
    <row r="111" spans="1:6" x14ac:dyDescent="0.2">
      <c r="A111" s="19" t="s">
        <v>24</v>
      </c>
      <c r="B111" s="19" t="s">
        <v>1362</v>
      </c>
      <c r="C111" s="19">
        <v>6</v>
      </c>
      <c r="D111" s="19">
        <v>2024</v>
      </c>
      <c r="E111" s="19" t="s">
        <v>1983</v>
      </c>
      <c r="F111" s="19">
        <v>1</v>
      </c>
    </row>
    <row r="112" spans="1:6" x14ac:dyDescent="0.2">
      <c r="A112" s="19" t="s">
        <v>29</v>
      </c>
      <c r="B112" s="19" t="s">
        <v>1363</v>
      </c>
      <c r="C112" s="19">
        <v>6</v>
      </c>
      <c r="D112" s="19">
        <v>2024</v>
      </c>
      <c r="E112" s="19" t="s">
        <v>1984</v>
      </c>
      <c r="F112" s="19">
        <v>1</v>
      </c>
    </row>
    <row r="113" spans="1:6" x14ac:dyDescent="0.2">
      <c r="A113" s="19" t="s">
        <v>14</v>
      </c>
      <c r="B113" s="19" t="s">
        <v>1364</v>
      </c>
      <c r="C113" s="19">
        <v>6</v>
      </c>
      <c r="D113" s="19">
        <v>2024</v>
      </c>
      <c r="E113" s="19" t="s">
        <v>1985</v>
      </c>
      <c r="F113" s="19">
        <v>2</v>
      </c>
    </row>
    <row r="114" spans="1:6" x14ac:dyDescent="0.2">
      <c r="A114" s="19" t="s">
        <v>28</v>
      </c>
      <c r="B114" s="19" t="s">
        <v>1365</v>
      </c>
      <c r="C114" s="19">
        <v>6</v>
      </c>
      <c r="D114" s="19">
        <v>2024</v>
      </c>
      <c r="E114" s="19" t="s">
        <v>1986</v>
      </c>
      <c r="F114" s="19">
        <v>1</v>
      </c>
    </row>
    <row r="115" spans="1:6" x14ac:dyDescent="0.2">
      <c r="A115" s="19" t="s">
        <v>18</v>
      </c>
      <c r="B115" s="19" t="s">
        <v>1366</v>
      </c>
      <c r="C115" s="19">
        <v>6</v>
      </c>
      <c r="D115" s="19">
        <v>2024</v>
      </c>
      <c r="E115" s="19" t="s">
        <v>1987</v>
      </c>
    </row>
    <row r="116" spans="1:6" x14ac:dyDescent="0.2">
      <c r="A116" s="19" t="s">
        <v>11</v>
      </c>
      <c r="B116" s="19" t="s">
        <v>1367</v>
      </c>
      <c r="C116" s="19">
        <v>6</v>
      </c>
      <c r="D116" s="19">
        <v>2024</v>
      </c>
      <c r="E116" s="19" t="s">
        <v>1988</v>
      </c>
    </row>
    <row r="117" spans="1:6" x14ac:dyDescent="0.2">
      <c r="A117" s="19" t="s">
        <v>30</v>
      </c>
      <c r="B117" s="19" t="s">
        <v>1368</v>
      </c>
      <c r="C117" s="19">
        <v>6</v>
      </c>
      <c r="D117" s="19">
        <v>2024</v>
      </c>
      <c r="E117" s="19" t="s">
        <v>1989</v>
      </c>
    </row>
    <row r="118" spans="1:6" x14ac:dyDescent="0.2">
      <c r="A118" s="19" t="s">
        <v>16</v>
      </c>
      <c r="B118" s="19" t="s">
        <v>1369</v>
      </c>
      <c r="C118" s="19">
        <v>6</v>
      </c>
      <c r="D118" s="19">
        <v>2024</v>
      </c>
      <c r="E118" s="19" t="s">
        <v>1990</v>
      </c>
      <c r="F118" s="19">
        <v>3</v>
      </c>
    </row>
    <row r="119" spans="1:6" x14ac:dyDescent="0.2">
      <c r="A119" s="19" t="s">
        <v>20</v>
      </c>
      <c r="B119" s="19" t="s">
        <v>1370</v>
      </c>
      <c r="C119" s="19">
        <v>6</v>
      </c>
      <c r="D119" s="19">
        <v>2024</v>
      </c>
      <c r="E119" s="19" t="s">
        <v>1991</v>
      </c>
    </row>
    <row r="120" spans="1:6" x14ac:dyDescent="0.2">
      <c r="A120" s="19" t="s">
        <v>25</v>
      </c>
      <c r="B120" s="19" t="s">
        <v>1371</v>
      </c>
      <c r="C120" s="19">
        <v>6</v>
      </c>
      <c r="D120" s="19">
        <v>2024</v>
      </c>
      <c r="E120" s="19" t="s">
        <v>1992</v>
      </c>
    </row>
    <row r="121" spans="1:6" x14ac:dyDescent="0.2">
      <c r="A121" s="19" t="s">
        <v>22</v>
      </c>
      <c r="B121" s="19" t="s">
        <v>1372</v>
      </c>
      <c r="C121" s="19">
        <v>6</v>
      </c>
      <c r="D121" s="19">
        <v>2024</v>
      </c>
      <c r="E121" s="19" t="s">
        <v>1993</v>
      </c>
      <c r="F121" s="19">
        <v>1</v>
      </c>
    </row>
    <row r="122" spans="1:6" x14ac:dyDescent="0.2">
      <c r="A122" s="19" t="s">
        <v>32</v>
      </c>
      <c r="B122" s="19" t="s">
        <v>1373</v>
      </c>
      <c r="C122" s="19">
        <v>6</v>
      </c>
      <c r="D122" s="19">
        <v>2024</v>
      </c>
      <c r="E122" s="19" t="s">
        <v>1994</v>
      </c>
      <c r="F122" s="19">
        <v>2</v>
      </c>
    </row>
    <row r="123" spans="1:6" x14ac:dyDescent="0.2">
      <c r="A123" s="19" t="s">
        <v>34</v>
      </c>
      <c r="B123" s="19" t="s">
        <v>1374</v>
      </c>
      <c r="C123" s="19">
        <v>6</v>
      </c>
      <c r="D123" s="19">
        <v>2024</v>
      </c>
      <c r="E123" s="19" t="s">
        <v>1995</v>
      </c>
    </row>
    <row r="124" spans="1:6" x14ac:dyDescent="0.2">
      <c r="A124" s="19" t="s">
        <v>26</v>
      </c>
      <c r="B124" s="19" t="s">
        <v>1375</v>
      </c>
      <c r="C124" s="19">
        <v>6</v>
      </c>
      <c r="D124" s="19">
        <v>2024</v>
      </c>
      <c r="E124" s="19" t="s">
        <v>1996</v>
      </c>
      <c r="F124" s="19">
        <v>1</v>
      </c>
    </row>
    <row r="125" spans="1:6" x14ac:dyDescent="0.2">
      <c r="A125" s="19" t="s">
        <v>27</v>
      </c>
      <c r="B125" s="19" t="s">
        <v>1376</v>
      </c>
      <c r="C125" s="19">
        <v>6</v>
      </c>
      <c r="D125" s="19">
        <v>2024</v>
      </c>
      <c r="E125" s="19" t="s">
        <v>1997</v>
      </c>
      <c r="F125" s="19">
        <v>1</v>
      </c>
    </row>
    <row r="126" spans="1:6" x14ac:dyDescent="0.2">
      <c r="A126" s="19" t="s">
        <v>31</v>
      </c>
      <c r="B126" s="19" t="s">
        <v>1358</v>
      </c>
      <c r="C126" s="19">
        <v>6</v>
      </c>
      <c r="D126" s="19">
        <v>2024</v>
      </c>
      <c r="E126" s="19" t="s">
        <v>1998</v>
      </c>
    </row>
    <row r="127" spans="1:6" x14ac:dyDescent="0.2">
      <c r="A127" s="19" t="s">
        <v>33</v>
      </c>
      <c r="B127" s="19" t="s">
        <v>1377</v>
      </c>
      <c r="C127" s="19">
        <v>6</v>
      </c>
      <c r="D127" s="19">
        <v>2024</v>
      </c>
      <c r="E127" s="19" t="s">
        <v>1999</v>
      </c>
    </row>
    <row r="128" spans="1:6" x14ac:dyDescent="0.2">
      <c r="A128" s="19" t="s">
        <v>6</v>
      </c>
      <c r="B128" s="19" t="s">
        <v>1357</v>
      </c>
      <c r="C128" s="19">
        <v>7</v>
      </c>
      <c r="D128" s="19">
        <v>2024</v>
      </c>
      <c r="E128" s="19" t="s">
        <v>2000</v>
      </c>
      <c r="F128" s="19">
        <v>2</v>
      </c>
    </row>
    <row r="129" spans="1:6" x14ac:dyDescent="0.2">
      <c r="A129" s="19" t="s">
        <v>23</v>
      </c>
      <c r="B129" s="19" t="s">
        <v>1359</v>
      </c>
      <c r="C129" s="19">
        <v>7</v>
      </c>
      <c r="D129" s="19">
        <v>2024</v>
      </c>
      <c r="E129" s="19" t="s">
        <v>2001</v>
      </c>
    </row>
    <row r="130" spans="1:6" x14ac:dyDescent="0.2">
      <c r="A130" s="19" t="s">
        <v>21</v>
      </c>
      <c r="B130" s="19" t="s">
        <v>1360</v>
      </c>
      <c r="C130" s="19">
        <v>7</v>
      </c>
      <c r="D130" s="19">
        <v>2024</v>
      </c>
      <c r="E130" s="19" t="s">
        <v>2002</v>
      </c>
    </row>
    <row r="131" spans="1:6" x14ac:dyDescent="0.2">
      <c r="A131" s="19" t="s">
        <v>1</v>
      </c>
      <c r="B131" s="19" t="s">
        <v>1361</v>
      </c>
      <c r="C131" s="19">
        <v>7</v>
      </c>
      <c r="D131" s="19">
        <v>2024</v>
      </c>
      <c r="E131" s="19" t="s">
        <v>2003</v>
      </c>
      <c r="F131" s="19">
        <v>3</v>
      </c>
    </row>
    <row r="132" spans="1:6" x14ac:dyDescent="0.2">
      <c r="A132" s="19" t="s">
        <v>24</v>
      </c>
      <c r="B132" s="19" t="s">
        <v>1362</v>
      </c>
      <c r="C132" s="19">
        <v>7</v>
      </c>
      <c r="D132" s="19">
        <v>2024</v>
      </c>
      <c r="E132" s="19" t="s">
        <v>2004</v>
      </c>
      <c r="F132" s="19">
        <v>3</v>
      </c>
    </row>
    <row r="133" spans="1:6" x14ac:dyDescent="0.2">
      <c r="A133" s="19" t="s">
        <v>29</v>
      </c>
      <c r="B133" s="19" t="s">
        <v>1363</v>
      </c>
      <c r="C133" s="19">
        <v>7</v>
      </c>
      <c r="D133" s="19">
        <v>2024</v>
      </c>
      <c r="E133" s="19" t="s">
        <v>2005</v>
      </c>
      <c r="F133" s="19">
        <v>6</v>
      </c>
    </row>
    <row r="134" spans="1:6" x14ac:dyDescent="0.2">
      <c r="A134" s="19" t="s">
        <v>14</v>
      </c>
      <c r="B134" s="19" t="s">
        <v>1364</v>
      </c>
      <c r="C134" s="19">
        <v>7</v>
      </c>
      <c r="D134" s="19">
        <v>2024</v>
      </c>
      <c r="E134" s="19" t="s">
        <v>2006</v>
      </c>
      <c r="F134" s="19">
        <v>1</v>
      </c>
    </row>
    <row r="135" spans="1:6" x14ac:dyDescent="0.2">
      <c r="A135" s="19" t="s">
        <v>28</v>
      </c>
      <c r="B135" s="19" t="s">
        <v>1365</v>
      </c>
      <c r="C135" s="19">
        <v>7</v>
      </c>
      <c r="D135" s="19">
        <v>2024</v>
      </c>
      <c r="E135" s="19" t="s">
        <v>2007</v>
      </c>
    </row>
    <row r="136" spans="1:6" x14ac:dyDescent="0.2">
      <c r="A136" s="19" t="s">
        <v>18</v>
      </c>
      <c r="B136" s="19" t="s">
        <v>1366</v>
      </c>
      <c r="C136" s="19">
        <v>7</v>
      </c>
      <c r="D136" s="19">
        <v>2024</v>
      </c>
      <c r="E136" s="19" t="s">
        <v>2008</v>
      </c>
    </row>
    <row r="137" spans="1:6" x14ac:dyDescent="0.2">
      <c r="A137" s="19" t="s">
        <v>11</v>
      </c>
      <c r="B137" s="19" t="s">
        <v>1367</v>
      </c>
      <c r="C137" s="19">
        <v>7</v>
      </c>
      <c r="D137" s="19">
        <v>2024</v>
      </c>
      <c r="E137" s="19" t="s">
        <v>2009</v>
      </c>
    </row>
    <row r="138" spans="1:6" x14ac:dyDescent="0.2">
      <c r="A138" s="19" t="s">
        <v>30</v>
      </c>
      <c r="B138" s="19" t="s">
        <v>1368</v>
      </c>
      <c r="C138" s="19">
        <v>7</v>
      </c>
      <c r="D138" s="19">
        <v>2024</v>
      </c>
      <c r="E138" s="19" t="s">
        <v>2010</v>
      </c>
      <c r="F138" s="19">
        <v>5</v>
      </c>
    </row>
    <row r="139" spans="1:6" x14ac:dyDescent="0.2">
      <c r="A139" s="19" t="s">
        <v>16</v>
      </c>
      <c r="B139" s="19" t="s">
        <v>1369</v>
      </c>
      <c r="C139" s="19">
        <v>7</v>
      </c>
      <c r="D139" s="19">
        <v>2024</v>
      </c>
      <c r="E139" s="19" t="s">
        <v>2011</v>
      </c>
    </row>
    <row r="140" spans="1:6" x14ac:dyDescent="0.2">
      <c r="A140" s="19" t="s">
        <v>20</v>
      </c>
      <c r="B140" s="19" t="s">
        <v>1370</v>
      </c>
      <c r="C140" s="19">
        <v>7</v>
      </c>
      <c r="D140" s="19">
        <v>2024</v>
      </c>
      <c r="E140" s="19" t="s">
        <v>2012</v>
      </c>
    </row>
    <row r="141" spans="1:6" x14ac:dyDescent="0.2">
      <c r="A141" s="19" t="s">
        <v>25</v>
      </c>
      <c r="B141" s="19" t="s">
        <v>1371</v>
      </c>
      <c r="C141" s="19">
        <v>7</v>
      </c>
      <c r="D141" s="19">
        <v>2024</v>
      </c>
      <c r="E141" s="19" t="s">
        <v>2013</v>
      </c>
      <c r="F141" s="19">
        <v>1</v>
      </c>
    </row>
    <row r="142" spans="1:6" x14ac:dyDescent="0.2">
      <c r="A142" s="19" t="s">
        <v>22</v>
      </c>
      <c r="B142" s="19" t="s">
        <v>1372</v>
      </c>
      <c r="C142" s="19">
        <v>7</v>
      </c>
      <c r="D142" s="19">
        <v>2024</v>
      </c>
      <c r="E142" s="19" t="s">
        <v>2014</v>
      </c>
    </row>
    <row r="143" spans="1:6" x14ac:dyDescent="0.2">
      <c r="A143" s="19" t="s">
        <v>32</v>
      </c>
      <c r="B143" s="19" t="s">
        <v>1373</v>
      </c>
      <c r="C143" s="19">
        <v>7</v>
      </c>
      <c r="D143" s="19">
        <v>2024</v>
      </c>
      <c r="E143" s="19" t="s">
        <v>2015</v>
      </c>
      <c r="F143" s="19">
        <v>1</v>
      </c>
    </row>
    <row r="144" spans="1:6" x14ac:dyDescent="0.2">
      <c r="A144" s="19" t="s">
        <v>34</v>
      </c>
      <c r="B144" s="19" t="s">
        <v>1374</v>
      </c>
      <c r="C144" s="19">
        <v>7</v>
      </c>
      <c r="D144" s="19">
        <v>2024</v>
      </c>
      <c r="E144" s="19" t="s">
        <v>2016</v>
      </c>
      <c r="F144" s="19">
        <v>3</v>
      </c>
    </row>
    <row r="145" spans="1:6" x14ac:dyDescent="0.2">
      <c r="A145" s="19" t="s">
        <v>26</v>
      </c>
      <c r="B145" s="19" t="s">
        <v>1375</v>
      </c>
      <c r="C145" s="19">
        <v>7</v>
      </c>
      <c r="D145" s="19">
        <v>2024</v>
      </c>
      <c r="E145" s="19" t="s">
        <v>2017</v>
      </c>
      <c r="F145" s="19">
        <v>1</v>
      </c>
    </row>
    <row r="146" spans="1:6" x14ac:dyDescent="0.2">
      <c r="A146" s="19" t="s">
        <v>27</v>
      </c>
      <c r="B146" s="19" t="s">
        <v>1376</v>
      </c>
      <c r="C146" s="19">
        <v>7</v>
      </c>
      <c r="D146" s="19">
        <v>2024</v>
      </c>
      <c r="E146" s="19" t="s">
        <v>2018</v>
      </c>
    </row>
    <row r="147" spans="1:6" x14ac:dyDescent="0.2">
      <c r="A147" s="19" t="s">
        <v>31</v>
      </c>
      <c r="B147" s="19" t="s">
        <v>1358</v>
      </c>
      <c r="C147" s="19">
        <v>7</v>
      </c>
      <c r="D147" s="19">
        <v>2024</v>
      </c>
      <c r="E147" s="19" t="s">
        <v>2019</v>
      </c>
    </row>
    <row r="148" spans="1:6" x14ac:dyDescent="0.2">
      <c r="A148" s="19" t="s">
        <v>33</v>
      </c>
      <c r="B148" s="19" t="s">
        <v>1377</v>
      </c>
      <c r="C148" s="19">
        <v>7</v>
      </c>
      <c r="D148" s="19">
        <v>2024</v>
      </c>
      <c r="E148" s="19" t="s">
        <v>2020</v>
      </c>
    </row>
    <row r="149" spans="1:6" x14ac:dyDescent="0.2">
      <c r="A149" s="19" t="s">
        <v>6</v>
      </c>
      <c r="B149" s="19" t="s">
        <v>1357</v>
      </c>
      <c r="C149" s="19">
        <v>8</v>
      </c>
      <c r="D149" s="19">
        <v>2024</v>
      </c>
      <c r="E149" s="19" t="s">
        <v>2021</v>
      </c>
    </row>
    <row r="150" spans="1:6" x14ac:dyDescent="0.2">
      <c r="A150" s="19" t="s">
        <v>23</v>
      </c>
      <c r="B150" s="19" t="s">
        <v>1359</v>
      </c>
      <c r="C150" s="19">
        <v>8</v>
      </c>
      <c r="D150" s="19">
        <v>2024</v>
      </c>
      <c r="E150" s="19" t="s">
        <v>2022</v>
      </c>
      <c r="F150" s="19">
        <v>1</v>
      </c>
    </row>
    <row r="151" spans="1:6" x14ac:dyDescent="0.2">
      <c r="A151" s="19" t="s">
        <v>21</v>
      </c>
      <c r="B151" s="19" t="s">
        <v>1360</v>
      </c>
      <c r="C151" s="19">
        <v>8</v>
      </c>
      <c r="D151" s="19">
        <v>2024</v>
      </c>
      <c r="E151" s="19" t="s">
        <v>2023</v>
      </c>
      <c r="F151" s="19">
        <v>1</v>
      </c>
    </row>
    <row r="152" spans="1:6" x14ac:dyDescent="0.2">
      <c r="A152" s="19" t="s">
        <v>1</v>
      </c>
      <c r="B152" s="19" t="s">
        <v>1361</v>
      </c>
      <c r="C152" s="19">
        <v>8</v>
      </c>
      <c r="D152" s="19">
        <v>2024</v>
      </c>
      <c r="E152" s="19" t="s">
        <v>2024</v>
      </c>
      <c r="F152" s="19">
        <v>1</v>
      </c>
    </row>
    <row r="153" spans="1:6" x14ac:dyDescent="0.2">
      <c r="A153" s="19" t="s">
        <v>24</v>
      </c>
      <c r="B153" s="19" t="s">
        <v>1362</v>
      </c>
      <c r="C153" s="19">
        <v>8</v>
      </c>
      <c r="D153" s="19">
        <v>2024</v>
      </c>
      <c r="E153" s="19" t="s">
        <v>2025</v>
      </c>
    </row>
    <row r="154" spans="1:6" x14ac:dyDescent="0.2">
      <c r="A154" s="19" t="s">
        <v>29</v>
      </c>
      <c r="B154" s="19" t="s">
        <v>1363</v>
      </c>
      <c r="C154" s="19">
        <v>8</v>
      </c>
      <c r="D154" s="19">
        <v>2024</v>
      </c>
      <c r="E154" s="19" t="s">
        <v>2026</v>
      </c>
      <c r="F154" s="19">
        <v>1</v>
      </c>
    </row>
    <row r="155" spans="1:6" x14ac:dyDescent="0.2">
      <c r="A155" s="19" t="s">
        <v>14</v>
      </c>
      <c r="B155" s="19" t="s">
        <v>1364</v>
      </c>
      <c r="C155" s="19">
        <v>8</v>
      </c>
      <c r="D155" s="19">
        <v>2024</v>
      </c>
      <c r="E155" s="19" t="s">
        <v>2027</v>
      </c>
    </row>
    <row r="156" spans="1:6" x14ac:dyDescent="0.2">
      <c r="A156" s="19" t="s">
        <v>28</v>
      </c>
      <c r="B156" s="19" t="s">
        <v>1365</v>
      </c>
      <c r="C156" s="19">
        <v>8</v>
      </c>
      <c r="D156" s="19">
        <v>2024</v>
      </c>
      <c r="E156" s="19" t="s">
        <v>2028</v>
      </c>
    </row>
    <row r="157" spans="1:6" x14ac:dyDescent="0.2">
      <c r="A157" s="19" t="s">
        <v>18</v>
      </c>
      <c r="B157" s="19" t="s">
        <v>1366</v>
      </c>
      <c r="C157" s="19">
        <v>8</v>
      </c>
      <c r="D157" s="19">
        <v>2024</v>
      </c>
      <c r="E157" s="19" t="s">
        <v>2029</v>
      </c>
    </row>
    <row r="158" spans="1:6" x14ac:dyDescent="0.2">
      <c r="A158" s="19" t="s">
        <v>11</v>
      </c>
      <c r="B158" s="19" t="s">
        <v>1367</v>
      </c>
      <c r="C158" s="19">
        <v>8</v>
      </c>
      <c r="D158" s="19">
        <v>2024</v>
      </c>
      <c r="E158" s="19" t="s">
        <v>2030</v>
      </c>
      <c r="F158" s="19">
        <v>7</v>
      </c>
    </row>
    <row r="159" spans="1:6" x14ac:dyDescent="0.2">
      <c r="A159" s="19" t="s">
        <v>30</v>
      </c>
      <c r="B159" s="19" t="s">
        <v>1368</v>
      </c>
      <c r="C159" s="19">
        <v>8</v>
      </c>
      <c r="D159" s="19">
        <v>2024</v>
      </c>
      <c r="E159" s="19" t="s">
        <v>2031</v>
      </c>
    </row>
    <row r="160" spans="1:6" x14ac:dyDescent="0.2">
      <c r="A160" s="19" t="s">
        <v>16</v>
      </c>
      <c r="B160" s="19" t="s">
        <v>1369</v>
      </c>
      <c r="C160" s="19">
        <v>8</v>
      </c>
      <c r="D160" s="19">
        <v>2024</v>
      </c>
      <c r="E160" s="19" t="s">
        <v>2032</v>
      </c>
    </row>
    <row r="161" spans="1:6" x14ac:dyDescent="0.2">
      <c r="A161" s="19" t="s">
        <v>20</v>
      </c>
      <c r="B161" s="19" t="s">
        <v>1370</v>
      </c>
      <c r="C161" s="19">
        <v>8</v>
      </c>
      <c r="D161" s="19">
        <v>2024</v>
      </c>
      <c r="E161" s="19" t="s">
        <v>2033</v>
      </c>
      <c r="F161" s="19">
        <v>1</v>
      </c>
    </row>
    <row r="162" spans="1:6" x14ac:dyDescent="0.2">
      <c r="A162" s="19" t="s">
        <v>25</v>
      </c>
      <c r="B162" s="19" t="s">
        <v>1371</v>
      </c>
      <c r="C162" s="19">
        <v>8</v>
      </c>
      <c r="D162" s="19">
        <v>2024</v>
      </c>
      <c r="E162" s="19" t="s">
        <v>2034</v>
      </c>
      <c r="F162" s="19">
        <v>1</v>
      </c>
    </row>
    <row r="163" spans="1:6" x14ac:dyDescent="0.2">
      <c r="A163" s="19" t="s">
        <v>22</v>
      </c>
      <c r="B163" s="19" t="s">
        <v>1372</v>
      </c>
      <c r="C163" s="19">
        <v>8</v>
      </c>
      <c r="D163" s="19">
        <v>2024</v>
      </c>
      <c r="E163" s="19" t="s">
        <v>2035</v>
      </c>
      <c r="F163" s="19">
        <v>2</v>
      </c>
    </row>
    <row r="164" spans="1:6" x14ac:dyDescent="0.2">
      <c r="A164" s="19" t="s">
        <v>32</v>
      </c>
      <c r="B164" s="19" t="s">
        <v>1373</v>
      </c>
      <c r="C164" s="19">
        <v>8</v>
      </c>
      <c r="D164" s="19">
        <v>2024</v>
      </c>
      <c r="E164" s="19" t="s">
        <v>2036</v>
      </c>
    </row>
    <row r="165" spans="1:6" x14ac:dyDescent="0.2">
      <c r="A165" s="19" t="s">
        <v>34</v>
      </c>
      <c r="B165" s="19" t="s">
        <v>1374</v>
      </c>
      <c r="C165" s="19">
        <v>8</v>
      </c>
      <c r="D165" s="19">
        <v>2024</v>
      </c>
      <c r="E165" s="19" t="s">
        <v>2037</v>
      </c>
      <c r="F165" s="19">
        <v>2</v>
      </c>
    </row>
    <row r="166" spans="1:6" x14ac:dyDescent="0.2">
      <c r="A166" s="19" t="s">
        <v>26</v>
      </c>
      <c r="B166" s="19" t="s">
        <v>1375</v>
      </c>
      <c r="C166" s="19">
        <v>8</v>
      </c>
      <c r="D166" s="19">
        <v>2024</v>
      </c>
      <c r="E166" s="19" t="s">
        <v>2038</v>
      </c>
    </row>
    <row r="167" spans="1:6" x14ac:dyDescent="0.2">
      <c r="A167" s="19" t="s">
        <v>27</v>
      </c>
      <c r="B167" s="19" t="s">
        <v>1376</v>
      </c>
      <c r="C167" s="19">
        <v>8</v>
      </c>
      <c r="D167" s="19">
        <v>2024</v>
      </c>
      <c r="E167" s="19" t="s">
        <v>2039</v>
      </c>
    </row>
    <row r="168" spans="1:6" x14ac:dyDescent="0.2">
      <c r="A168" s="19" t="s">
        <v>31</v>
      </c>
      <c r="B168" s="19" t="s">
        <v>1358</v>
      </c>
      <c r="C168" s="19">
        <v>8</v>
      </c>
      <c r="D168" s="19">
        <v>2024</v>
      </c>
      <c r="E168" s="19" t="s">
        <v>2040</v>
      </c>
      <c r="F168" s="19">
        <v>1</v>
      </c>
    </row>
    <row r="169" spans="1:6" x14ac:dyDescent="0.2">
      <c r="A169" s="19" t="s">
        <v>33</v>
      </c>
      <c r="B169" s="19" t="s">
        <v>1377</v>
      </c>
      <c r="C169" s="19">
        <v>8</v>
      </c>
      <c r="D169" s="19">
        <v>2024</v>
      </c>
      <c r="E169" s="19" t="s">
        <v>2041</v>
      </c>
      <c r="F169" s="19">
        <v>1</v>
      </c>
    </row>
    <row r="170" spans="1:6" x14ac:dyDescent="0.2">
      <c r="A170" s="19" t="s">
        <v>6</v>
      </c>
      <c r="B170" s="19" t="s">
        <v>1357</v>
      </c>
      <c r="C170" s="19">
        <v>9</v>
      </c>
      <c r="D170" s="19">
        <v>2024</v>
      </c>
      <c r="E170" s="19" t="s">
        <v>2042</v>
      </c>
      <c r="F170" s="19">
        <v>1</v>
      </c>
    </row>
    <row r="171" spans="1:6" x14ac:dyDescent="0.2">
      <c r="A171" s="19" t="s">
        <v>23</v>
      </c>
      <c r="B171" s="19" t="s">
        <v>1359</v>
      </c>
      <c r="C171" s="19">
        <v>9</v>
      </c>
      <c r="D171" s="19">
        <v>2024</v>
      </c>
      <c r="E171" s="19" t="s">
        <v>2043</v>
      </c>
    </row>
    <row r="172" spans="1:6" x14ac:dyDescent="0.2">
      <c r="A172" s="19" t="s">
        <v>21</v>
      </c>
      <c r="B172" s="19" t="s">
        <v>1360</v>
      </c>
      <c r="C172" s="19">
        <v>9</v>
      </c>
      <c r="D172" s="19">
        <v>2024</v>
      </c>
      <c r="E172" s="19" t="s">
        <v>2044</v>
      </c>
    </row>
    <row r="173" spans="1:6" x14ac:dyDescent="0.2">
      <c r="A173" s="19" t="s">
        <v>1</v>
      </c>
      <c r="B173" s="19" t="s">
        <v>1361</v>
      </c>
      <c r="C173" s="19">
        <v>9</v>
      </c>
      <c r="D173" s="19">
        <v>2024</v>
      </c>
      <c r="E173" s="19" t="s">
        <v>2045</v>
      </c>
    </row>
    <row r="174" spans="1:6" x14ac:dyDescent="0.2">
      <c r="A174" s="19" t="s">
        <v>24</v>
      </c>
      <c r="B174" s="19" t="s">
        <v>1362</v>
      </c>
      <c r="C174" s="19">
        <v>9</v>
      </c>
      <c r="D174" s="19">
        <v>2024</v>
      </c>
      <c r="E174" s="19" t="s">
        <v>2046</v>
      </c>
      <c r="F174" s="19">
        <v>1</v>
      </c>
    </row>
    <row r="175" spans="1:6" x14ac:dyDescent="0.2">
      <c r="A175" s="19" t="s">
        <v>29</v>
      </c>
      <c r="B175" s="19" t="s">
        <v>1363</v>
      </c>
      <c r="C175" s="19">
        <v>9</v>
      </c>
      <c r="D175" s="19">
        <v>2024</v>
      </c>
      <c r="E175" s="19" t="s">
        <v>2047</v>
      </c>
    </row>
    <row r="176" spans="1:6" x14ac:dyDescent="0.2">
      <c r="A176" s="19" t="s">
        <v>14</v>
      </c>
      <c r="B176" s="19" t="s">
        <v>1364</v>
      </c>
      <c r="C176" s="19">
        <v>9</v>
      </c>
      <c r="D176" s="19">
        <v>2024</v>
      </c>
      <c r="E176" s="19" t="s">
        <v>2048</v>
      </c>
    </row>
    <row r="177" spans="1:6" x14ac:dyDescent="0.2">
      <c r="A177" s="19" t="s">
        <v>28</v>
      </c>
      <c r="B177" s="19" t="s">
        <v>1365</v>
      </c>
      <c r="C177" s="19">
        <v>9</v>
      </c>
      <c r="D177" s="19">
        <v>2024</v>
      </c>
      <c r="E177" s="19" t="s">
        <v>2049</v>
      </c>
    </row>
    <row r="178" spans="1:6" x14ac:dyDescent="0.2">
      <c r="A178" s="19" t="s">
        <v>18</v>
      </c>
      <c r="B178" s="19" t="s">
        <v>1366</v>
      </c>
      <c r="C178" s="19">
        <v>9</v>
      </c>
      <c r="D178" s="19">
        <v>2024</v>
      </c>
      <c r="E178" s="19" t="s">
        <v>2050</v>
      </c>
      <c r="F178" s="19">
        <v>4</v>
      </c>
    </row>
    <row r="179" spans="1:6" x14ac:dyDescent="0.2">
      <c r="A179" s="19" t="s">
        <v>11</v>
      </c>
      <c r="B179" s="19" t="s">
        <v>1367</v>
      </c>
      <c r="C179" s="19">
        <v>9</v>
      </c>
      <c r="D179" s="19">
        <v>2024</v>
      </c>
      <c r="E179" s="19" t="s">
        <v>2051</v>
      </c>
    </row>
    <row r="180" spans="1:6" x14ac:dyDescent="0.2">
      <c r="A180" s="19" t="s">
        <v>30</v>
      </c>
      <c r="B180" s="19" t="s">
        <v>1368</v>
      </c>
      <c r="C180" s="19">
        <v>9</v>
      </c>
      <c r="D180" s="19">
        <v>2024</v>
      </c>
      <c r="E180" s="19" t="s">
        <v>2052</v>
      </c>
    </row>
    <row r="181" spans="1:6" x14ac:dyDescent="0.2">
      <c r="A181" s="19" t="s">
        <v>16</v>
      </c>
      <c r="B181" s="19" t="s">
        <v>1369</v>
      </c>
      <c r="C181" s="19">
        <v>9</v>
      </c>
      <c r="D181" s="19">
        <v>2024</v>
      </c>
      <c r="E181" s="19" t="s">
        <v>2053</v>
      </c>
      <c r="F181" s="19">
        <v>1</v>
      </c>
    </row>
    <row r="182" spans="1:6" x14ac:dyDescent="0.2">
      <c r="A182" s="19" t="s">
        <v>20</v>
      </c>
      <c r="B182" s="19" t="s">
        <v>1370</v>
      </c>
      <c r="C182" s="19">
        <v>9</v>
      </c>
      <c r="D182" s="19">
        <v>2024</v>
      </c>
      <c r="E182" s="19" t="s">
        <v>2054</v>
      </c>
      <c r="F182" s="19">
        <v>3</v>
      </c>
    </row>
    <row r="183" spans="1:6" x14ac:dyDescent="0.2">
      <c r="A183" s="19" t="s">
        <v>25</v>
      </c>
      <c r="B183" s="19" t="s">
        <v>1371</v>
      </c>
      <c r="C183" s="19">
        <v>9</v>
      </c>
      <c r="D183" s="19">
        <v>2024</v>
      </c>
      <c r="E183" s="19" t="s">
        <v>2055</v>
      </c>
      <c r="F183" s="19">
        <v>3</v>
      </c>
    </row>
    <row r="184" spans="1:6" x14ac:dyDescent="0.2">
      <c r="A184" s="19" t="s">
        <v>22</v>
      </c>
      <c r="B184" s="19" t="s">
        <v>1372</v>
      </c>
      <c r="C184" s="19">
        <v>9</v>
      </c>
      <c r="D184" s="19">
        <v>2024</v>
      </c>
      <c r="E184" s="19" t="s">
        <v>2056</v>
      </c>
      <c r="F184" s="19">
        <v>2</v>
      </c>
    </row>
    <row r="185" spans="1:6" x14ac:dyDescent="0.2">
      <c r="A185" s="19" t="s">
        <v>32</v>
      </c>
      <c r="B185" s="19" t="s">
        <v>1373</v>
      </c>
      <c r="C185" s="19">
        <v>9</v>
      </c>
      <c r="D185" s="19">
        <v>2024</v>
      </c>
      <c r="E185" s="19" t="s">
        <v>2057</v>
      </c>
      <c r="F185" s="19">
        <v>3</v>
      </c>
    </row>
    <row r="186" spans="1:6" x14ac:dyDescent="0.2">
      <c r="A186" s="19" t="s">
        <v>34</v>
      </c>
      <c r="B186" s="19" t="s">
        <v>1374</v>
      </c>
      <c r="C186" s="19">
        <v>9</v>
      </c>
      <c r="D186" s="19">
        <v>2024</v>
      </c>
      <c r="E186" s="19" t="s">
        <v>2058</v>
      </c>
    </row>
    <row r="187" spans="1:6" x14ac:dyDescent="0.2">
      <c r="A187" s="19" t="s">
        <v>26</v>
      </c>
      <c r="B187" s="19" t="s">
        <v>1375</v>
      </c>
      <c r="C187" s="19">
        <v>9</v>
      </c>
      <c r="D187" s="19">
        <v>2024</v>
      </c>
      <c r="E187" s="19" t="s">
        <v>2059</v>
      </c>
    </row>
    <row r="188" spans="1:6" x14ac:dyDescent="0.2">
      <c r="A188" s="19" t="s">
        <v>27</v>
      </c>
      <c r="B188" s="19" t="s">
        <v>1376</v>
      </c>
      <c r="C188" s="19">
        <v>9</v>
      </c>
      <c r="D188" s="19">
        <v>2024</v>
      </c>
      <c r="E188" s="19" t="s">
        <v>2060</v>
      </c>
      <c r="F188" s="19">
        <v>2</v>
      </c>
    </row>
    <row r="189" spans="1:6" x14ac:dyDescent="0.2">
      <c r="A189" s="19" t="s">
        <v>31</v>
      </c>
      <c r="B189" s="19" t="s">
        <v>1358</v>
      </c>
      <c r="C189" s="19">
        <v>9</v>
      </c>
      <c r="D189" s="19">
        <v>2024</v>
      </c>
      <c r="E189" s="19" t="s">
        <v>2061</v>
      </c>
      <c r="F189" s="19">
        <v>1</v>
      </c>
    </row>
    <row r="190" spans="1:6" x14ac:dyDescent="0.2">
      <c r="A190" s="19" t="s">
        <v>33</v>
      </c>
      <c r="B190" s="19" t="s">
        <v>1377</v>
      </c>
      <c r="C190" s="19">
        <v>9</v>
      </c>
      <c r="D190" s="19">
        <v>2024</v>
      </c>
      <c r="E190" s="19" t="s">
        <v>2062</v>
      </c>
      <c r="F190" s="19">
        <v>4</v>
      </c>
    </row>
    <row r="191" spans="1:6" x14ac:dyDescent="0.2">
      <c r="A191" s="19" t="s">
        <v>6</v>
      </c>
      <c r="B191" s="19" t="s">
        <v>1357</v>
      </c>
      <c r="C191" s="19">
        <v>10</v>
      </c>
      <c r="D191" s="19">
        <v>2024</v>
      </c>
      <c r="E191" s="19" t="s">
        <v>2063</v>
      </c>
      <c r="F191" s="19">
        <v>2</v>
      </c>
    </row>
    <row r="192" spans="1:6" x14ac:dyDescent="0.2">
      <c r="A192" s="19" t="s">
        <v>23</v>
      </c>
      <c r="B192" s="19" t="s">
        <v>1359</v>
      </c>
      <c r="C192" s="19">
        <v>10</v>
      </c>
      <c r="D192" s="19">
        <v>2024</v>
      </c>
      <c r="E192" s="19" t="s">
        <v>2064</v>
      </c>
      <c r="F192" s="19">
        <v>1</v>
      </c>
    </row>
    <row r="193" spans="1:6" x14ac:dyDescent="0.2">
      <c r="A193" s="19" t="s">
        <v>21</v>
      </c>
      <c r="B193" s="19" t="s">
        <v>1360</v>
      </c>
      <c r="C193" s="19">
        <v>10</v>
      </c>
      <c r="D193" s="19">
        <v>2024</v>
      </c>
      <c r="E193" s="19" t="s">
        <v>2065</v>
      </c>
      <c r="F193" s="19">
        <v>1</v>
      </c>
    </row>
    <row r="194" spans="1:6" x14ac:dyDescent="0.2">
      <c r="A194" s="19" t="s">
        <v>1</v>
      </c>
      <c r="B194" s="19" t="s">
        <v>1361</v>
      </c>
      <c r="C194" s="19">
        <v>10</v>
      </c>
      <c r="D194" s="19">
        <v>2024</v>
      </c>
      <c r="E194" s="19" t="s">
        <v>2066</v>
      </c>
    </row>
    <row r="195" spans="1:6" x14ac:dyDescent="0.2">
      <c r="A195" s="19" t="s">
        <v>24</v>
      </c>
      <c r="B195" s="19" t="s">
        <v>1362</v>
      </c>
      <c r="C195" s="19">
        <v>10</v>
      </c>
      <c r="D195" s="19">
        <v>2024</v>
      </c>
      <c r="E195" s="19" t="s">
        <v>2067</v>
      </c>
      <c r="F195" s="19">
        <v>2</v>
      </c>
    </row>
    <row r="196" spans="1:6" x14ac:dyDescent="0.2">
      <c r="A196" s="19" t="s">
        <v>29</v>
      </c>
      <c r="B196" s="19" t="s">
        <v>1363</v>
      </c>
      <c r="C196" s="19">
        <v>10</v>
      </c>
      <c r="D196" s="19">
        <v>2024</v>
      </c>
      <c r="E196" s="19" t="s">
        <v>2068</v>
      </c>
    </row>
    <row r="197" spans="1:6" x14ac:dyDescent="0.2">
      <c r="A197" s="19" t="s">
        <v>14</v>
      </c>
      <c r="B197" s="19" t="s">
        <v>1364</v>
      </c>
      <c r="C197" s="19">
        <v>10</v>
      </c>
      <c r="D197" s="19">
        <v>2024</v>
      </c>
      <c r="E197" s="19" t="s">
        <v>2069</v>
      </c>
    </row>
    <row r="198" spans="1:6" x14ac:dyDescent="0.2">
      <c r="A198" s="19" t="s">
        <v>28</v>
      </c>
      <c r="B198" s="19" t="s">
        <v>1365</v>
      </c>
      <c r="C198" s="19">
        <v>10</v>
      </c>
      <c r="D198" s="19">
        <v>2024</v>
      </c>
      <c r="E198" s="19" t="s">
        <v>2070</v>
      </c>
      <c r="F198" s="19">
        <v>5</v>
      </c>
    </row>
    <row r="199" spans="1:6" x14ac:dyDescent="0.2">
      <c r="A199" s="19" t="s">
        <v>18</v>
      </c>
      <c r="B199" s="19" t="s">
        <v>1366</v>
      </c>
      <c r="C199" s="19">
        <v>10</v>
      </c>
      <c r="D199" s="19">
        <v>2024</v>
      </c>
      <c r="E199" s="19" t="s">
        <v>2071</v>
      </c>
      <c r="F199" s="19">
        <v>1</v>
      </c>
    </row>
    <row r="200" spans="1:6" x14ac:dyDescent="0.2">
      <c r="A200" s="19" t="s">
        <v>11</v>
      </c>
      <c r="B200" s="19" t="s">
        <v>1367</v>
      </c>
      <c r="C200" s="19">
        <v>10</v>
      </c>
      <c r="D200" s="19">
        <v>2024</v>
      </c>
      <c r="E200" s="19" t="s">
        <v>2072</v>
      </c>
    </row>
    <row r="201" spans="1:6" x14ac:dyDescent="0.2">
      <c r="A201" s="19" t="s">
        <v>30</v>
      </c>
      <c r="B201" s="19" t="s">
        <v>1368</v>
      </c>
      <c r="C201" s="19">
        <v>10</v>
      </c>
      <c r="D201" s="19">
        <v>2024</v>
      </c>
      <c r="E201" s="19" t="s">
        <v>2073</v>
      </c>
      <c r="F201" s="19">
        <v>1</v>
      </c>
    </row>
    <row r="202" spans="1:6" x14ac:dyDescent="0.2">
      <c r="A202" s="19" t="s">
        <v>16</v>
      </c>
      <c r="B202" s="19" t="s">
        <v>1369</v>
      </c>
      <c r="C202" s="19">
        <v>10</v>
      </c>
      <c r="D202" s="19">
        <v>2024</v>
      </c>
      <c r="E202" s="19" t="s">
        <v>2074</v>
      </c>
      <c r="F202" s="19">
        <v>3</v>
      </c>
    </row>
    <row r="203" spans="1:6" x14ac:dyDescent="0.2">
      <c r="A203" s="19" t="s">
        <v>20</v>
      </c>
      <c r="B203" s="19" t="s">
        <v>1370</v>
      </c>
      <c r="C203" s="19">
        <v>10</v>
      </c>
      <c r="D203" s="19">
        <v>2024</v>
      </c>
      <c r="E203" s="19" t="s">
        <v>2075</v>
      </c>
      <c r="F203" s="19">
        <v>5</v>
      </c>
    </row>
    <row r="204" spans="1:6" x14ac:dyDescent="0.2">
      <c r="A204" s="19" t="s">
        <v>25</v>
      </c>
      <c r="B204" s="19" t="s">
        <v>1371</v>
      </c>
      <c r="C204" s="19">
        <v>10</v>
      </c>
      <c r="D204" s="19">
        <v>2024</v>
      </c>
      <c r="E204" s="19" t="s">
        <v>2076</v>
      </c>
      <c r="F204" s="19">
        <v>4</v>
      </c>
    </row>
    <row r="205" spans="1:6" x14ac:dyDescent="0.2">
      <c r="A205" s="19" t="s">
        <v>22</v>
      </c>
      <c r="B205" s="19" t="s">
        <v>1372</v>
      </c>
      <c r="C205" s="19">
        <v>10</v>
      </c>
      <c r="D205" s="19">
        <v>2024</v>
      </c>
      <c r="E205" s="19" t="s">
        <v>2077</v>
      </c>
      <c r="F205" s="19">
        <v>1</v>
      </c>
    </row>
    <row r="206" spans="1:6" x14ac:dyDescent="0.2">
      <c r="A206" s="19" t="s">
        <v>32</v>
      </c>
      <c r="B206" s="19" t="s">
        <v>1373</v>
      </c>
      <c r="C206" s="19">
        <v>10</v>
      </c>
      <c r="D206" s="19">
        <v>2024</v>
      </c>
      <c r="E206" s="19" t="s">
        <v>2078</v>
      </c>
    </row>
    <row r="207" spans="1:6" x14ac:dyDescent="0.2">
      <c r="A207" s="19" t="s">
        <v>34</v>
      </c>
      <c r="B207" s="19" t="s">
        <v>1374</v>
      </c>
      <c r="C207" s="19">
        <v>10</v>
      </c>
      <c r="D207" s="19">
        <v>2024</v>
      </c>
      <c r="E207" s="19" t="s">
        <v>2079</v>
      </c>
    </row>
    <row r="208" spans="1:6" x14ac:dyDescent="0.2">
      <c r="A208" s="19" t="s">
        <v>26</v>
      </c>
      <c r="B208" s="19" t="s">
        <v>1375</v>
      </c>
      <c r="C208" s="19">
        <v>10</v>
      </c>
      <c r="D208" s="19">
        <v>2024</v>
      </c>
      <c r="E208" s="19" t="s">
        <v>2080</v>
      </c>
      <c r="F208" s="19">
        <v>5</v>
      </c>
    </row>
    <row r="209" spans="1:6" x14ac:dyDescent="0.2">
      <c r="A209" s="19" t="s">
        <v>27</v>
      </c>
      <c r="B209" s="19" t="s">
        <v>1376</v>
      </c>
      <c r="C209" s="19">
        <v>10</v>
      </c>
      <c r="D209" s="19">
        <v>2024</v>
      </c>
      <c r="E209" s="19" t="s">
        <v>2081</v>
      </c>
      <c r="F209" s="19">
        <v>3</v>
      </c>
    </row>
    <row r="210" spans="1:6" x14ac:dyDescent="0.2">
      <c r="A210" s="19" t="s">
        <v>31</v>
      </c>
      <c r="B210" s="19" t="s">
        <v>1358</v>
      </c>
      <c r="C210" s="19">
        <v>10</v>
      </c>
      <c r="D210" s="19">
        <v>2024</v>
      </c>
      <c r="E210" s="19" t="s">
        <v>2082</v>
      </c>
      <c r="F210" s="19">
        <v>3</v>
      </c>
    </row>
    <row r="211" spans="1:6" x14ac:dyDescent="0.2">
      <c r="A211" s="19" t="s">
        <v>33</v>
      </c>
      <c r="B211" s="19" t="s">
        <v>1377</v>
      </c>
      <c r="C211" s="19">
        <v>10</v>
      </c>
      <c r="D211" s="19">
        <v>2024</v>
      </c>
      <c r="E211" s="19" t="s">
        <v>2083</v>
      </c>
      <c r="F211" s="19">
        <v>2</v>
      </c>
    </row>
    <row r="212" spans="1:6" x14ac:dyDescent="0.2">
      <c r="A212" s="19" t="s">
        <v>6</v>
      </c>
      <c r="B212" s="19" t="s">
        <v>1357</v>
      </c>
      <c r="C212" s="19">
        <v>11</v>
      </c>
      <c r="D212" s="19">
        <v>2024</v>
      </c>
      <c r="E212" s="19" t="s">
        <v>2084</v>
      </c>
      <c r="F212" s="19">
        <v>2</v>
      </c>
    </row>
    <row r="213" spans="1:6" x14ac:dyDescent="0.2">
      <c r="A213" s="19" t="s">
        <v>23</v>
      </c>
      <c r="B213" s="19" t="s">
        <v>1359</v>
      </c>
      <c r="C213" s="19">
        <v>11</v>
      </c>
      <c r="D213" s="19">
        <v>2024</v>
      </c>
      <c r="E213" s="19" t="s">
        <v>2085</v>
      </c>
      <c r="F213" s="19">
        <v>1</v>
      </c>
    </row>
    <row r="214" spans="1:6" x14ac:dyDescent="0.2">
      <c r="A214" s="19" t="s">
        <v>21</v>
      </c>
      <c r="B214" s="19" t="s">
        <v>1360</v>
      </c>
      <c r="C214" s="19">
        <v>11</v>
      </c>
      <c r="D214" s="19">
        <v>2024</v>
      </c>
      <c r="E214" s="19" t="s">
        <v>2086</v>
      </c>
      <c r="F214" s="19">
        <v>1</v>
      </c>
    </row>
    <row r="215" spans="1:6" x14ac:dyDescent="0.2">
      <c r="A215" s="19" t="s">
        <v>1</v>
      </c>
      <c r="B215" s="19" t="s">
        <v>1361</v>
      </c>
      <c r="C215" s="19">
        <v>11</v>
      </c>
      <c r="D215" s="19">
        <v>2024</v>
      </c>
      <c r="E215" s="19" t="s">
        <v>2087</v>
      </c>
    </row>
    <row r="216" spans="1:6" x14ac:dyDescent="0.2">
      <c r="A216" s="19" t="s">
        <v>24</v>
      </c>
      <c r="B216" s="19" t="s">
        <v>1362</v>
      </c>
      <c r="C216" s="19">
        <v>11</v>
      </c>
      <c r="D216" s="19">
        <v>2024</v>
      </c>
      <c r="E216" s="19" t="s">
        <v>2088</v>
      </c>
    </row>
    <row r="217" spans="1:6" x14ac:dyDescent="0.2">
      <c r="A217" s="19" t="s">
        <v>29</v>
      </c>
      <c r="B217" s="19" t="s">
        <v>1363</v>
      </c>
      <c r="C217" s="19">
        <v>11</v>
      </c>
      <c r="D217" s="19">
        <v>2024</v>
      </c>
      <c r="E217" s="19" t="s">
        <v>2089</v>
      </c>
    </row>
    <row r="218" spans="1:6" x14ac:dyDescent="0.2">
      <c r="A218" s="19" t="s">
        <v>14</v>
      </c>
      <c r="B218" s="19" t="s">
        <v>1364</v>
      </c>
      <c r="C218" s="19">
        <v>11</v>
      </c>
      <c r="D218" s="19">
        <v>2024</v>
      </c>
      <c r="E218" s="19" t="s">
        <v>2090</v>
      </c>
      <c r="F218" s="19">
        <v>4</v>
      </c>
    </row>
    <row r="219" spans="1:6" x14ac:dyDescent="0.2">
      <c r="A219" s="19" t="s">
        <v>28</v>
      </c>
      <c r="B219" s="19" t="s">
        <v>1365</v>
      </c>
      <c r="C219" s="19">
        <v>11</v>
      </c>
      <c r="D219" s="19">
        <v>2024</v>
      </c>
      <c r="E219" s="19" t="s">
        <v>2091</v>
      </c>
      <c r="F219" s="19">
        <v>1</v>
      </c>
    </row>
    <row r="220" spans="1:6" x14ac:dyDescent="0.2">
      <c r="A220" s="19" t="s">
        <v>18</v>
      </c>
      <c r="B220" s="19" t="s">
        <v>1366</v>
      </c>
      <c r="C220" s="19">
        <v>11</v>
      </c>
      <c r="D220" s="19">
        <v>2024</v>
      </c>
      <c r="E220" s="19" t="s">
        <v>2092</v>
      </c>
    </row>
    <row r="221" spans="1:6" x14ac:dyDescent="0.2">
      <c r="A221" s="19" t="s">
        <v>11</v>
      </c>
      <c r="B221" s="19" t="s">
        <v>1367</v>
      </c>
      <c r="C221" s="19">
        <v>11</v>
      </c>
      <c r="D221" s="19">
        <v>2024</v>
      </c>
      <c r="E221" s="19" t="s">
        <v>2093</v>
      </c>
      <c r="F221" s="19">
        <v>1</v>
      </c>
    </row>
    <row r="222" spans="1:6" x14ac:dyDescent="0.2">
      <c r="A222" s="19" t="s">
        <v>30</v>
      </c>
      <c r="B222" s="19" t="s">
        <v>1368</v>
      </c>
      <c r="C222" s="19">
        <v>11</v>
      </c>
      <c r="D222" s="19">
        <v>2024</v>
      </c>
      <c r="E222" s="19" t="s">
        <v>2094</v>
      </c>
      <c r="F222" s="19">
        <v>2</v>
      </c>
    </row>
    <row r="223" spans="1:6" x14ac:dyDescent="0.2">
      <c r="A223" s="19" t="s">
        <v>16</v>
      </c>
      <c r="B223" s="19" t="s">
        <v>1369</v>
      </c>
      <c r="C223" s="19">
        <v>11</v>
      </c>
      <c r="D223" s="19">
        <v>2024</v>
      </c>
      <c r="E223" s="19" t="s">
        <v>2095</v>
      </c>
      <c r="F223" s="19">
        <v>3</v>
      </c>
    </row>
    <row r="224" spans="1:6" x14ac:dyDescent="0.2">
      <c r="A224" s="19" t="s">
        <v>20</v>
      </c>
      <c r="B224" s="19" t="s">
        <v>1370</v>
      </c>
      <c r="C224" s="19">
        <v>11</v>
      </c>
      <c r="D224" s="19">
        <v>2024</v>
      </c>
      <c r="E224" s="19" t="s">
        <v>2096</v>
      </c>
      <c r="F224" s="19">
        <v>1</v>
      </c>
    </row>
    <row r="225" spans="1:6" x14ac:dyDescent="0.2">
      <c r="A225" s="19" t="s">
        <v>25</v>
      </c>
      <c r="B225" s="19" t="s">
        <v>1371</v>
      </c>
      <c r="C225" s="19">
        <v>11</v>
      </c>
      <c r="D225" s="19">
        <v>2024</v>
      </c>
      <c r="E225" s="19" t="s">
        <v>2097</v>
      </c>
      <c r="F225" s="19">
        <v>1</v>
      </c>
    </row>
    <row r="226" spans="1:6" x14ac:dyDescent="0.2">
      <c r="A226" s="19" t="s">
        <v>22</v>
      </c>
      <c r="B226" s="19" t="s">
        <v>1372</v>
      </c>
      <c r="C226" s="19">
        <v>11</v>
      </c>
      <c r="D226" s="19">
        <v>2024</v>
      </c>
      <c r="E226" s="19" t="s">
        <v>2098</v>
      </c>
      <c r="F226" s="19">
        <v>1</v>
      </c>
    </row>
    <row r="227" spans="1:6" x14ac:dyDescent="0.2">
      <c r="A227" s="19" t="s">
        <v>32</v>
      </c>
      <c r="B227" s="19" t="s">
        <v>1373</v>
      </c>
      <c r="C227" s="19">
        <v>11</v>
      </c>
      <c r="D227" s="19">
        <v>2024</v>
      </c>
      <c r="E227" s="19" t="s">
        <v>2099</v>
      </c>
      <c r="F227" s="19">
        <v>1</v>
      </c>
    </row>
    <row r="228" spans="1:6" x14ac:dyDescent="0.2">
      <c r="A228" s="19" t="s">
        <v>34</v>
      </c>
      <c r="B228" s="19" t="s">
        <v>1374</v>
      </c>
      <c r="C228" s="19">
        <v>11</v>
      </c>
      <c r="D228" s="19">
        <v>2024</v>
      </c>
      <c r="E228" s="19" t="s">
        <v>2100</v>
      </c>
      <c r="F228" s="19">
        <v>5</v>
      </c>
    </row>
    <row r="229" spans="1:6" x14ac:dyDescent="0.2">
      <c r="A229" s="19" t="s">
        <v>26</v>
      </c>
      <c r="B229" s="19" t="s">
        <v>1375</v>
      </c>
      <c r="C229" s="19">
        <v>11</v>
      </c>
      <c r="D229" s="19">
        <v>2024</v>
      </c>
      <c r="E229" s="19" t="s">
        <v>2101</v>
      </c>
      <c r="F229" s="19">
        <v>6</v>
      </c>
    </row>
    <row r="230" spans="1:6" x14ac:dyDescent="0.2">
      <c r="A230" s="19" t="s">
        <v>27</v>
      </c>
      <c r="B230" s="19" t="s">
        <v>1376</v>
      </c>
      <c r="C230" s="19">
        <v>11</v>
      </c>
      <c r="D230" s="19">
        <v>2024</v>
      </c>
      <c r="E230" s="19" t="s">
        <v>2102</v>
      </c>
      <c r="F230" s="19">
        <v>5</v>
      </c>
    </row>
    <row r="231" spans="1:6" x14ac:dyDescent="0.2">
      <c r="A231" s="19" t="s">
        <v>31</v>
      </c>
      <c r="B231" s="19" t="s">
        <v>1358</v>
      </c>
      <c r="C231" s="19">
        <v>11</v>
      </c>
      <c r="D231" s="19">
        <v>2024</v>
      </c>
      <c r="E231" s="19" t="s">
        <v>2103</v>
      </c>
    </row>
    <row r="232" spans="1:6" x14ac:dyDescent="0.2">
      <c r="A232" s="19" t="s">
        <v>33</v>
      </c>
      <c r="B232" s="19" t="s">
        <v>1377</v>
      </c>
      <c r="C232" s="19">
        <v>11</v>
      </c>
      <c r="D232" s="19">
        <v>2024</v>
      </c>
      <c r="E232" s="19" t="s">
        <v>2104</v>
      </c>
      <c r="F232" s="19">
        <v>4</v>
      </c>
    </row>
    <row r="233" spans="1:6" x14ac:dyDescent="0.2">
      <c r="A233" s="19" t="s">
        <v>6</v>
      </c>
      <c r="B233" s="19" t="s">
        <v>1357</v>
      </c>
      <c r="C233" s="19">
        <v>12</v>
      </c>
      <c r="D233" s="19">
        <v>2024</v>
      </c>
      <c r="E233" s="19" t="s">
        <v>2105</v>
      </c>
      <c r="F233" s="19">
        <v>2</v>
      </c>
    </row>
    <row r="234" spans="1:6" x14ac:dyDescent="0.2">
      <c r="A234" s="19" t="s">
        <v>23</v>
      </c>
      <c r="B234" s="19" t="s">
        <v>1359</v>
      </c>
      <c r="C234" s="19">
        <v>12</v>
      </c>
      <c r="D234" s="19">
        <v>2024</v>
      </c>
      <c r="E234" s="19" t="s">
        <v>2106</v>
      </c>
      <c r="F234" s="19">
        <v>1</v>
      </c>
    </row>
    <row r="235" spans="1:6" x14ac:dyDescent="0.2">
      <c r="A235" s="19" t="s">
        <v>21</v>
      </c>
      <c r="B235" s="19" t="s">
        <v>1360</v>
      </c>
      <c r="C235" s="19">
        <v>12</v>
      </c>
      <c r="D235" s="19">
        <v>2024</v>
      </c>
      <c r="E235" s="19" t="s">
        <v>2107</v>
      </c>
    </row>
    <row r="236" spans="1:6" x14ac:dyDescent="0.2">
      <c r="A236" s="19" t="s">
        <v>1</v>
      </c>
      <c r="B236" s="19" t="s">
        <v>1361</v>
      </c>
      <c r="C236" s="19">
        <v>12</v>
      </c>
      <c r="D236" s="19">
        <v>2024</v>
      </c>
      <c r="E236" s="19" t="s">
        <v>2108</v>
      </c>
    </row>
    <row r="237" spans="1:6" x14ac:dyDescent="0.2">
      <c r="A237" s="19" t="s">
        <v>24</v>
      </c>
      <c r="B237" s="19" t="s">
        <v>1362</v>
      </c>
      <c r="C237" s="19">
        <v>12</v>
      </c>
      <c r="D237" s="19">
        <v>2024</v>
      </c>
      <c r="E237" s="19" t="s">
        <v>2109</v>
      </c>
    </row>
    <row r="238" spans="1:6" x14ac:dyDescent="0.2">
      <c r="A238" s="19" t="s">
        <v>29</v>
      </c>
      <c r="B238" s="19" t="s">
        <v>1363</v>
      </c>
      <c r="C238" s="19">
        <v>12</v>
      </c>
      <c r="D238" s="19">
        <v>2024</v>
      </c>
      <c r="E238" s="19" t="s">
        <v>2110</v>
      </c>
      <c r="F238" s="19">
        <v>3</v>
      </c>
    </row>
    <row r="239" spans="1:6" x14ac:dyDescent="0.2">
      <c r="A239" s="19" t="s">
        <v>14</v>
      </c>
      <c r="B239" s="19" t="s">
        <v>1364</v>
      </c>
      <c r="C239" s="19">
        <v>12</v>
      </c>
      <c r="D239" s="19">
        <v>2024</v>
      </c>
      <c r="E239" s="19" t="s">
        <v>2111</v>
      </c>
      <c r="F239" s="19">
        <v>2</v>
      </c>
    </row>
    <row r="240" spans="1:6" x14ac:dyDescent="0.2">
      <c r="A240" s="19" t="s">
        <v>28</v>
      </c>
      <c r="B240" s="19" t="s">
        <v>1365</v>
      </c>
      <c r="C240" s="19">
        <v>12</v>
      </c>
      <c r="D240" s="19">
        <v>2024</v>
      </c>
      <c r="E240" s="19" t="s">
        <v>2112</v>
      </c>
    </row>
    <row r="241" spans="1:6" x14ac:dyDescent="0.2">
      <c r="A241" s="19" t="s">
        <v>18</v>
      </c>
      <c r="B241" s="19" t="s">
        <v>1366</v>
      </c>
      <c r="C241" s="19">
        <v>12</v>
      </c>
      <c r="D241" s="19">
        <v>2024</v>
      </c>
      <c r="E241" s="19" t="s">
        <v>2113</v>
      </c>
      <c r="F241" s="19">
        <v>1</v>
      </c>
    </row>
    <row r="242" spans="1:6" x14ac:dyDescent="0.2">
      <c r="A242" s="19" t="s">
        <v>11</v>
      </c>
      <c r="B242" s="19" t="s">
        <v>1367</v>
      </c>
      <c r="C242" s="19">
        <v>12</v>
      </c>
      <c r="D242" s="19">
        <v>2024</v>
      </c>
      <c r="E242" s="19" t="s">
        <v>2114</v>
      </c>
      <c r="F242" s="19">
        <v>1</v>
      </c>
    </row>
    <row r="243" spans="1:6" x14ac:dyDescent="0.2">
      <c r="A243" s="19" t="s">
        <v>30</v>
      </c>
      <c r="B243" s="19" t="s">
        <v>1368</v>
      </c>
      <c r="C243" s="19">
        <v>12</v>
      </c>
      <c r="D243" s="19">
        <v>2024</v>
      </c>
      <c r="E243" s="19" t="s">
        <v>2115</v>
      </c>
      <c r="F243" s="19">
        <v>1</v>
      </c>
    </row>
    <row r="244" spans="1:6" x14ac:dyDescent="0.2">
      <c r="A244" s="19" t="s">
        <v>16</v>
      </c>
      <c r="B244" s="19" t="s">
        <v>1369</v>
      </c>
      <c r="C244" s="19">
        <v>12</v>
      </c>
      <c r="D244" s="19">
        <v>2024</v>
      </c>
      <c r="E244" s="19" t="s">
        <v>2116</v>
      </c>
      <c r="F244" s="19">
        <v>1</v>
      </c>
    </row>
    <row r="245" spans="1:6" x14ac:dyDescent="0.2">
      <c r="A245" s="19" t="s">
        <v>20</v>
      </c>
      <c r="B245" s="19" t="s">
        <v>1370</v>
      </c>
      <c r="C245" s="19">
        <v>12</v>
      </c>
      <c r="D245" s="19">
        <v>2024</v>
      </c>
      <c r="E245" s="19" t="s">
        <v>2117</v>
      </c>
      <c r="F245" s="19">
        <v>1</v>
      </c>
    </row>
    <row r="246" spans="1:6" x14ac:dyDescent="0.2">
      <c r="A246" s="19" t="s">
        <v>25</v>
      </c>
      <c r="B246" s="19" t="s">
        <v>1371</v>
      </c>
      <c r="C246" s="19">
        <v>12</v>
      </c>
      <c r="D246" s="19">
        <v>2024</v>
      </c>
      <c r="E246" s="19" t="s">
        <v>2118</v>
      </c>
    </row>
    <row r="247" spans="1:6" x14ac:dyDescent="0.2">
      <c r="A247" s="19" t="s">
        <v>22</v>
      </c>
      <c r="B247" s="19" t="s">
        <v>1372</v>
      </c>
      <c r="C247" s="19">
        <v>12</v>
      </c>
      <c r="D247" s="19">
        <v>2024</v>
      </c>
      <c r="E247" s="19" t="s">
        <v>2119</v>
      </c>
    </row>
    <row r="248" spans="1:6" x14ac:dyDescent="0.2">
      <c r="A248" s="19" t="s">
        <v>32</v>
      </c>
      <c r="B248" s="19" t="s">
        <v>1373</v>
      </c>
      <c r="C248" s="19">
        <v>12</v>
      </c>
      <c r="D248" s="19">
        <v>2024</v>
      </c>
      <c r="E248" s="19" t="s">
        <v>2120</v>
      </c>
      <c r="F248" s="19">
        <v>1</v>
      </c>
    </row>
    <row r="249" spans="1:6" x14ac:dyDescent="0.2">
      <c r="A249" s="19" t="s">
        <v>34</v>
      </c>
      <c r="B249" s="19" t="s">
        <v>1374</v>
      </c>
      <c r="C249" s="19">
        <v>12</v>
      </c>
      <c r="D249" s="19">
        <v>2024</v>
      </c>
      <c r="E249" s="19" t="s">
        <v>2121</v>
      </c>
      <c r="F249" s="19">
        <v>1</v>
      </c>
    </row>
    <row r="250" spans="1:6" x14ac:dyDescent="0.2">
      <c r="A250" s="19" t="s">
        <v>26</v>
      </c>
      <c r="B250" s="19" t="s">
        <v>1375</v>
      </c>
      <c r="C250" s="19">
        <v>12</v>
      </c>
      <c r="D250" s="19">
        <v>2024</v>
      </c>
      <c r="E250" s="19" t="s">
        <v>2122</v>
      </c>
      <c r="F250" s="19">
        <v>2</v>
      </c>
    </row>
    <row r="251" spans="1:6" x14ac:dyDescent="0.2">
      <c r="A251" s="19" t="s">
        <v>27</v>
      </c>
      <c r="B251" s="19" t="s">
        <v>1376</v>
      </c>
      <c r="C251" s="19">
        <v>12</v>
      </c>
      <c r="D251" s="19">
        <v>2024</v>
      </c>
      <c r="E251" s="19" t="s">
        <v>2123</v>
      </c>
      <c r="F251" s="19">
        <v>2</v>
      </c>
    </row>
    <row r="252" spans="1:6" x14ac:dyDescent="0.2">
      <c r="A252" s="19" t="s">
        <v>31</v>
      </c>
      <c r="B252" s="19" t="s">
        <v>1358</v>
      </c>
      <c r="C252" s="19">
        <v>12</v>
      </c>
      <c r="D252" s="19">
        <v>2024</v>
      </c>
      <c r="E252" s="19" t="s">
        <v>2124</v>
      </c>
      <c r="F252" s="19">
        <v>1</v>
      </c>
    </row>
    <row r="253" spans="1:6" x14ac:dyDescent="0.2">
      <c r="A253" s="19" t="s">
        <v>33</v>
      </c>
      <c r="B253" s="19" t="s">
        <v>1377</v>
      </c>
      <c r="C253" s="19">
        <v>12</v>
      </c>
      <c r="D253" s="19">
        <v>2024</v>
      </c>
      <c r="E253" s="19" t="s">
        <v>2125</v>
      </c>
      <c r="F253" s="19">
        <v>1</v>
      </c>
    </row>
    <row r="254" spans="1:6" x14ac:dyDescent="0.2">
      <c r="A254" s="19" t="s">
        <v>6</v>
      </c>
      <c r="B254" s="19" t="s">
        <v>1357</v>
      </c>
      <c r="C254" s="19">
        <v>1</v>
      </c>
      <c r="D254" s="19">
        <v>2025</v>
      </c>
      <c r="E254" s="19" t="s">
        <v>2126</v>
      </c>
    </row>
    <row r="255" spans="1:6" x14ac:dyDescent="0.2">
      <c r="A255" s="19" t="s">
        <v>23</v>
      </c>
      <c r="B255" s="19" t="s">
        <v>1359</v>
      </c>
      <c r="C255" s="19">
        <v>1</v>
      </c>
      <c r="D255" s="19">
        <v>2025</v>
      </c>
      <c r="E255" s="19" t="s">
        <v>2127</v>
      </c>
    </row>
    <row r="256" spans="1:6" x14ac:dyDescent="0.2">
      <c r="A256" s="19" t="s">
        <v>21</v>
      </c>
      <c r="B256" s="19" t="s">
        <v>1360</v>
      </c>
      <c r="C256" s="19">
        <v>1</v>
      </c>
      <c r="D256" s="19">
        <v>2025</v>
      </c>
      <c r="E256" s="19" t="s">
        <v>2128</v>
      </c>
    </row>
    <row r="257" spans="1:6" x14ac:dyDescent="0.2">
      <c r="A257" s="19" t="s">
        <v>1</v>
      </c>
      <c r="B257" s="19" t="s">
        <v>1361</v>
      </c>
      <c r="C257" s="19">
        <v>1</v>
      </c>
      <c r="D257" s="19">
        <v>2025</v>
      </c>
      <c r="E257" s="19" t="s">
        <v>2129</v>
      </c>
      <c r="F257" s="19">
        <v>1</v>
      </c>
    </row>
    <row r="258" spans="1:6" x14ac:dyDescent="0.2">
      <c r="A258" s="19" t="s">
        <v>24</v>
      </c>
      <c r="B258" s="19" t="s">
        <v>1362</v>
      </c>
      <c r="C258" s="19">
        <v>1</v>
      </c>
      <c r="D258" s="19">
        <v>2025</v>
      </c>
      <c r="E258" s="19" t="s">
        <v>2130</v>
      </c>
      <c r="F258" s="19">
        <v>3</v>
      </c>
    </row>
    <row r="259" spans="1:6" x14ac:dyDescent="0.2">
      <c r="A259" s="19" t="s">
        <v>29</v>
      </c>
      <c r="B259" s="19" t="s">
        <v>1363</v>
      </c>
      <c r="C259" s="19">
        <v>1</v>
      </c>
      <c r="D259" s="19">
        <v>2025</v>
      </c>
      <c r="E259" s="19" t="s">
        <v>2131</v>
      </c>
      <c r="F259" s="19">
        <v>1</v>
      </c>
    </row>
    <row r="260" spans="1:6" x14ac:dyDescent="0.2">
      <c r="A260" s="19" t="s">
        <v>14</v>
      </c>
      <c r="B260" s="19" t="s">
        <v>1364</v>
      </c>
      <c r="C260" s="19">
        <v>1</v>
      </c>
      <c r="D260" s="19">
        <v>2025</v>
      </c>
      <c r="E260" s="19" t="s">
        <v>2132</v>
      </c>
      <c r="F260" s="19">
        <v>1</v>
      </c>
    </row>
    <row r="261" spans="1:6" x14ac:dyDescent="0.2">
      <c r="A261" s="19" t="s">
        <v>28</v>
      </c>
      <c r="B261" s="19" t="s">
        <v>1365</v>
      </c>
      <c r="C261" s="19">
        <v>1</v>
      </c>
      <c r="D261" s="19">
        <v>2025</v>
      </c>
      <c r="E261" s="19" t="s">
        <v>2133</v>
      </c>
    </row>
    <row r="262" spans="1:6" x14ac:dyDescent="0.2">
      <c r="A262" s="19" t="s">
        <v>18</v>
      </c>
      <c r="B262" s="19" t="s">
        <v>1366</v>
      </c>
      <c r="C262" s="19">
        <v>1</v>
      </c>
      <c r="D262" s="19">
        <v>2025</v>
      </c>
      <c r="E262" s="19" t="s">
        <v>2134</v>
      </c>
      <c r="F262" s="19">
        <v>1</v>
      </c>
    </row>
    <row r="263" spans="1:6" x14ac:dyDescent="0.2">
      <c r="A263" s="19" t="s">
        <v>11</v>
      </c>
      <c r="B263" s="19" t="s">
        <v>1367</v>
      </c>
      <c r="C263" s="19">
        <v>1</v>
      </c>
      <c r="D263" s="19">
        <v>2025</v>
      </c>
      <c r="E263" s="19" t="s">
        <v>2135</v>
      </c>
      <c r="F263" s="19">
        <v>1</v>
      </c>
    </row>
    <row r="264" spans="1:6" x14ac:dyDescent="0.2">
      <c r="A264" s="19" t="s">
        <v>30</v>
      </c>
      <c r="B264" s="19" t="s">
        <v>1368</v>
      </c>
      <c r="C264" s="19">
        <v>1</v>
      </c>
      <c r="D264" s="19">
        <v>2025</v>
      </c>
      <c r="E264" s="19" t="s">
        <v>2136</v>
      </c>
      <c r="F264" s="19">
        <v>1</v>
      </c>
    </row>
    <row r="265" spans="1:6" x14ac:dyDescent="0.2">
      <c r="A265" s="19" t="s">
        <v>16</v>
      </c>
      <c r="B265" s="19" t="s">
        <v>1369</v>
      </c>
      <c r="C265" s="19">
        <v>1</v>
      </c>
      <c r="D265" s="19">
        <v>2025</v>
      </c>
      <c r="E265" s="19" t="s">
        <v>2137</v>
      </c>
      <c r="F265" s="19">
        <v>1</v>
      </c>
    </row>
    <row r="266" spans="1:6" x14ac:dyDescent="0.2">
      <c r="A266" s="19" t="s">
        <v>20</v>
      </c>
      <c r="B266" s="19" t="s">
        <v>1370</v>
      </c>
      <c r="C266" s="19">
        <v>1</v>
      </c>
      <c r="D266" s="19">
        <v>2025</v>
      </c>
      <c r="E266" s="19" t="s">
        <v>2138</v>
      </c>
    </row>
    <row r="267" spans="1:6" x14ac:dyDescent="0.2">
      <c r="A267" s="19" t="s">
        <v>25</v>
      </c>
      <c r="B267" s="19" t="s">
        <v>1371</v>
      </c>
      <c r="C267" s="19">
        <v>1</v>
      </c>
      <c r="D267" s="19">
        <v>2025</v>
      </c>
      <c r="E267" s="19" t="s">
        <v>2139</v>
      </c>
    </row>
    <row r="268" spans="1:6" x14ac:dyDescent="0.2">
      <c r="A268" s="19" t="s">
        <v>22</v>
      </c>
      <c r="B268" s="19" t="s">
        <v>1372</v>
      </c>
      <c r="C268" s="19">
        <v>1</v>
      </c>
      <c r="D268" s="19">
        <v>2025</v>
      </c>
      <c r="E268" s="19" t="s">
        <v>2140</v>
      </c>
      <c r="F268" s="19">
        <v>1</v>
      </c>
    </row>
    <row r="269" spans="1:6" x14ac:dyDescent="0.2">
      <c r="A269" s="19" t="s">
        <v>32</v>
      </c>
      <c r="B269" s="19" t="s">
        <v>1373</v>
      </c>
      <c r="C269" s="19">
        <v>1</v>
      </c>
      <c r="D269" s="19">
        <v>2025</v>
      </c>
      <c r="E269" s="19" t="s">
        <v>2141</v>
      </c>
      <c r="F269" s="19">
        <v>1</v>
      </c>
    </row>
    <row r="270" spans="1:6" x14ac:dyDescent="0.2">
      <c r="A270" s="19" t="s">
        <v>34</v>
      </c>
      <c r="B270" s="19" t="s">
        <v>1374</v>
      </c>
      <c r="C270" s="19">
        <v>1</v>
      </c>
      <c r="D270" s="19">
        <v>2025</v>
      </c>
      <c r="E270" s="19" t="s">
        <v>2142</v>
      </c>
    </row>
    <row r="271" spans="1:6" x14ac:dyDescent="0.2">
      <c r="A271" s="19" t="s">
        <v>26</v>
      </c>
      <c r="B271" s="19" t="s">
        <v>1375</v>
      </c>
      <c r="C271" s="19">
        <v>1</v>
      </c>
      <c r="D271" s="19">
        <v>2025</v>
      </c>
      <c r="E271" s="19" t="s">
        <v>2143</v>
      </c>
    </row>
    <row r="272" spans="1:6" x14ac:dyDescent="0.2">
      <c r="A272" s="19" t="s">
        <v>27</v>
      </c>
      <c r="B272" s="19" t="s">
        <v>1376</v>
      </c>
      <c r="C272" s="19">
        <v>1</v>
      </c>
      <c r="D272" s="19">
        <v>2025</v>
      </c>
      <c r="E272" s="19" t="s">
        <v>2144</v>
      </c>
    </row>
    <row r="273" spans="1:6" x14ac:dyDescent="0.2">
      <c r="A273" s="19" t="s">
        <v>31</v>
      </c>
      <c r="B273" s="19" t="s">
        <v>1358</v>
      </c>
      <c r="C273" s="19">
        <v>1</v>
      </c>
      <c r="D273" s="19">
        <v>2025</v>
      </c>
      <c r="E273" s="19" t="s">
        <v>2145</v>
      </c>
      <c r="F273" s="19">
        <v>1</v>
      </c>
    </row>
    <row r="274" spans="1:6" x14ac:dyDescent="0.2">
      <c r="A274" s="19" t="s">
        <v>33</v>
      </c>
      <c r="B274" s="19" t="s">
        <v>1377</v>
      </c>
      <c r="C274" s="19">
        <v>1</v>
      </c>
      <c r="D274" s="19">
        <v>2025</v>
      </c>
      <c r="E274" s="19" t="s">
        <v>2146</v>
      </c>
      <c r="F274" s="19">
        <v>2</v>
      </c>
    </row>
    <row r="275" spans="1:6" x14ac:dyDescent="0.2">
      <c r="A275" s="19" t="s">
        <v>6</v>
      </c>
      <c r="B275" s="19" t="s">
        <v>1357</v>
      </c>
      <c r="C275" s="19">
        <v>2</v>
      </c>
      <c r="D275" s="19">
        <v>2025</v>
      </c>
      <c r="E275" s="19" t="s">
        <v>2147</v>
      </c>
      <c r="F275" s="19">
        <v>1</v>
      </c>
    </row>
    <row r="276" spans="1:6" x14ac:dyDescent="0.2">
      <c r="A276" s="19" t="s">
        <v>23</v>
      </c>
      <c r="B276" s="19" t="s">
        <v>1359</v>
      </c>
      <c r="C276" s="19">
        <v>2</v>
      </c>
      <c r="D276" s="19">
        <v>2025</v>
      </c>
      <c r="E276" s="19" t="s">
        <v>2148</v>
      </c>
    </row>
    <row r="277" spans="1:6" x14ac:dyDescent="0.2">
      <c r="A277" s="19" t="s">
        <v>21</v>
      </c>
      <c r="B277" s="19" t="s">
        <v>1360</v>
      </c>
      <c r="C277" s="19">
        <v>2</v>
      </c>
      <c r="D277" s="19">
        <v>2025</v>
      </c>
      <c r="E277" s="19" t="s">
        <v>2149</v>
      </c>
    </row>
    <row r="278" spans="1:6" x14ac:dyDescent="0.2">
      <c r="A278" s="19" t="s">
        <v>1</v>
      </c>
      <c r="B278" s="19" t="s">
        <v>1361</v>
      </c>
      <c r="C278" s="19">
        <v>2</v>
      </c>
      <c r="D278" s="19">
        <v>2025</v>
      </c>
      <c r="E278" s="19" t="s">
        <v>2150</v>
      </c>
      <c r="F278" s="19">
        <v>2</v>
      </c>
    </row>
    <row r="279" spans="1:6" x14ac:dyDescent="0.2">
      <c r="A279" s="19" t="s">
        <v>24</v>
      </c>
      <c r="B279" s="19" t="s">
        <v>1362</v>
      </c>
      <c r="C279" s="19">
        <v>2</v>
      </c>
      <c r="D279" s="19">
        <v>2025</v>
      </c>
      <c r="E279" s="19" t="s">
        <v>2151</v>
      </c>
      <c r="F279" s="19">
        <v>1</v>
      </c>
    </row>
    <row r="280" spans="1:6" x14ac:dyDescent="0.2">
      <c r="A280" s="19" t="s">
        <v>29</v>
      </c>
      <c r="B280" s="19" t="s">
        <v>1363</v>
      </c>
      <c r="C280" s="19">
        <v>2</v>
      </c>
      <c r="D280" s="19">
        <v>2025</v>
      </c>
      <c r="E280" s="19" t="s">
        <v>2152</v>
      </c>
      <c r="F280" s="19">
        <v>1</v>
      </c>
    </row>
    <row r="281" spans="1:6" x14ac:dyDescent="0.2">
      <c r="A281" s="19" t="s">
        <v>14</v>
      </c>
      <c r="B281" s="19" t="s">
        <v>1364</v>
      </c>
      <c r="C281" s="19">
        <v>2</v>
      </c>
      <c r="D281" s="19">
        <v>2025</v>
      </c>
      <c r="E281" s="19" t="s">
        <v>2153</v>
      </c>
      <c r="F281" s="19">
        <v>1</v>
      </c>
    </row>
    <row r="282" spans="1:6" x14ac:dyDescent="0.2">
      <c r="A282" s="19" t="s">
        <v>28</v>
      </c>
      <c r="B282" s="19" t="s">
        <v>1365</v>
      </c>
      <c r="C282" s="19">
        <v>2</v>
      </c>
      <c r="D282" s="19">
        <v>2025</v>
      </c>
      <c r="E282" s="19" t="s">
        <v>2154</v>
      </c>
      <c r="F282" s="19">
        <v>2</v>
      </c>
    </row>
    <row r="283" spans="1:6" x14ac:dyDescent="0.2">
      <c r="A283" s="19" t="s">
        <v>18</v>
      </c>
      <c r="B283" s="19" t="s">
        <v>1366</v>
      </c>
      <c r="C283" s="19">
        <v>2</v>
      </c>
      <c r="D283" s="19">
        <v>2025</v>
      </c>
      <c r="E283" s="19" t="s">
        <v>2155</v>
      </c>
      <c r="F283" s="19">
        <v>2</v>
      </c>
    </row>
    <row r="284" spans="1:6" x14ac:dyDescent="0.2">
      <c r="A284" s="19" t="s">
        <v>11</v>
      </c>
      <c r="B284" s="19" t="s">
        <v>1367</v>
      </c>
      <c r="C284" s="19">
        <v>2</v>
      </c>
      <c r="D284" s="19">
        <v>2025</v>
      </c>
      <c r="E284" s="19" t="s">
        <v>2156</v>
      </c>
      <c r="F284" s="19">
        <v>2</v>
      </c>
    </row>
    <row r="285" spans="1:6" x14ac:dyDescent="0.2">
      <c r="A285" s="19" t="s">
        <v>30</v>
      </c>
      <c r="B285" s="19" t="s">
        <v>1368</v>
      </c>
      <c r="C285" s="19">
        <v>2</v>
      </c>
      <c r="D285" s="19">
        <v>2025</v>
      </c>
      <c r="E285" s="19" t="s">
        <v>2157</v>
      </c>
      <c r="F285" s="19">
        <v>2</v>
      </c>
    </row>
    <row r="286" spans="1:6" x14ac:dyDescent="0.2">
      <c r="A286" s="19" t="s">
        <v>16</v>
      </c>
      <c r="B286" s="19" t="s">
        <v>1369</v>
      </c>
      <c r="C286" s="19">
        <v>2</v>
      </c>
      <c r="D286" s="19">
        <v>2025</v>
      </c>
      <c r="E286" s="19" t="s">
        <v>2158</v>
      </c>
    </row>
    <row r="287" spans="1:6" x14ac:dyDescent="0.2">
      <c r="A287" s="19" t="s">
        <v>20</v>
      </c>
      <c r="B287" s="19" t="s">
        <v>1370</v>
      </c>
      <c r="C287" s="19">
        <v>2</v>
      </c>
      <c r="D287" s="19">
        <v>2025</v>
      </c>
      <c r="E287" s="19" t="s">
        <v>2159</v>
      </c>
    </row>
    <row r="288" spans="1:6" x14ac:dyDescent="0.2">
      <c r="A288" s="19" t="s">
        <v>25</v>
      </c>
      <c r="B288" s="19" t="s">
        <v>1371</v>
      </c>
      <c r="C288" s="19">
        <v>2</v>
      </c>
      <c r="D288" s="19">
        <v>2025</v>
      </c>
      <c r="E288" s="19" t="s">
        <v>2160</v>
      </c>
      <c r="F288" s="19">
        <v>2</v>
      </c>
    </row>
    <row r="289" spans="1:6" x14ac:dyDescent="0.2">
      <c r="A289" s="19" t="s">
        <v>22</v>
      </c>
      <c r="B289" s="19" t="s">
        <v>1372</v>
      </c>
      <c r="C289" s="19">
        <v>2</v>
      </c>
      <c r="D289" s="19">
        <v>2025</v>
      </c>
      <c r="E289" s="19" t="s">
        <v>2161</v>
      </c>
      <c r="F289" s="19">
        <v>1</v>
      </c>
    </row>
    <row r="290" spans="1:6" x14ac:dyDescent="0.2">
      <c r="A290" s="19" t="s">
        <v>32</v>
      </c>
      <c r="B290" s="19" t="s">
        <v>1373</v>
      </c>
      <c r="C290" s="19">
        <v>2</v>
      </c>
      <c r="D290" s="19">
        <v>2025</v>
      </c>
      <c r="E290" s="19" t="s">
        <v>2162</v>
      </c>
      <c r="F290" s="19">
        <v>1</v>
      </c>
    </row>
    <row r="291" spans="1:6" x14ac:dyDescent="0.2">
      <c r="A291" s="19" t="s">
        <v>34</v>
      </c>
      <c r="B291" s="19" t="s">
        <v>1374</v>
      </c>
      <c r="C291" s="19">
        <v>2</v>
      </c>
      <c r="D291" s="19">
        <v>2025</v>
      </c>
      <c r="E291" s="19" t="s">
        <v>2163</v>
      </c>
      <c r="F291" s="19">
        <v>1</v>
      </c>
    </row>
    <row r="292" spans="1:6" x14ac:dyDescent="0.2">
      <c r="A292" s="19" t="s">
        <v>26</v>
      </c>
      <c r="B292" s="19" t="s">
        <v>1375</v>
      </c>
      <c r="C292" s="19">
        <v>2</v>
      </c>
      <c r="D292" s="19">
        <v>2025</v>
      </c>
      <c r="E292" s="19" t="s">
        <v>2164</v>
      </c>
      <c r="F292" s="19">
        <v>1</v>
      </c>
    </row>
    <row r="293" spans="1:6" x14ac:dyDescent="0.2">
      <c r="A293" s="19" t="s">
        <v>27</v>
      </c>
      <c r="B293" s="19" t="s">
        <v>1376</v>
      </c>
      <c r="C293" s="19">
        <v>2</v>
      </c>
      <c r="D293" s="19">
        <v>2025</v>
      </c>
      <c r="E293" s="19" t="s">
        <v>2165</v>
      </c>
      <c r="F293" s="19">
        <v>1</v>
      </c>
    </row>
    <row r="294" spans="1:6" x14ac:dyDescent="0.2">
      <c r="A294" s="19" t="s">
        <v>31</v>
      </c>
      <c r="B294" s="19" t="s">
        <v>1358</v>
      </c>
      <c r="C294" s="19">
        <v>2</v>
      </c>
      <c r="D294" s="19">
        <v>2025</v>
      </c>
      <c r="E294" s="19" t="s">
        <v>2166</v>
      </c>
      <c r="F294" s="19">
        <v>1</v>
      </c>
    </row>
    <row r="295" spans="1:6" x14ac:dyDescent="0.2">
      <c r="A295" s="19" t="s">
        <v>33</v>
      </c>
      <c r="B295" s="19" t="s">
        <v>1377</v>
      </c>
      <c r="C295" s="19">
        <v>2</v>
      </c>
      <c r="D295" s="19">
        <v>2025</v>
      </c>
      <c r="E295" s="19" t="s">
        <v>2167</v>
      </c>
      <c r="F295" s="19">
        <v>1</v>
      </c>
    </row>
    <row r="296" spans="1:6" x14ac:dyDescent="0.2">
      <c r="A296" s="19" t="s">
        <v>6</v>
      </c>
      <c r="B296" s="19" t="s">
        <v>1357</v>
      </c>
      <c r="C296" s="19">
        <v>3</v>
      </c>
      <c r="D296" s="19">
        <v>2025</v>
      </c>
      <c r="E296" s="19" t="s">
        <v>2168</v>
      </c>
      <c r="F296" s="19">
        <v>1</v>
      </c>
    </row>
    <row r="297" spans="1:6" x14ac:dyDescent="0.2">
      <c r="A297" s="19" t="s">
        <v>23</v>
      </c>
      <c r="B297" s="19" t="s">
        <v>1359</v>
      </c>
      <c r="C297" s="19">
        <v>3</v>
      </c>
      <c r="D297" s="19">
        <v>2025</v>
      </c>
      <c r="E297" s="19" t="s">
        <v>2169</v>
      </c>
      <c r="F297" s="19">
        <v>1</v>
      </c>
    </row>
    <row r="298" spans="1:6" x14ac:dyDescent="0.2">
      <c r="A298" s="19" t="s">
        <v>21</v>
      </c>
      <c r="B298" s="19" t="s">
        <v>1360</v>
      </c>
      <c r="C298" s="19">
        <v>3</v>
      </c>
      <c r="D298" s="19">
        <v>2025</v>
      </c>
      <c r="E298" s="19" t="s">
        <v>2170</v>
      </c>
      <c r="F298" s="19">
        <v>3</v>
      </c>
    </row>
    <row r="299" spans="1:6" x14ac:dyDescent="0.2">
      <c r="A299" s="19" t="s">
        <v>1</v>
      </c>
      <c r="B299" s="19" t="s">
        <v>1361</v>
      </c>
      <c r="C299" s="19">
        <v>3</v>
      </c>
      <c r="D299" s="19">
        <v>2025</v>
      </c>
      <c r="E299" s="19" t="s">
        <v>2171</v>
      </c>
      <c r="F299" s="19">
        <v>1</v>
      </c>
    </row>
    <row r="300" spans="1:6" x14ac:dyDescent="0.2">
      <c r="A300" s="19" t="s">
        <v>24</v>
      </c>
      <c r="B300" s="19" t="s">
        <v>1362</v>
      </c>
      <c r="C300" s="19">
        <v>3</v>
      </c>
      <c r="D300" s="19">
        <v>2025</v>
      </c>
      <c r="E300" s="19" t="s">
        <v>2172</v>
      </c>
      <c r="F300" s="19">
        <v>2</v>
      </c>
    </row>
    <row r="301" spans="1:6" x14ac:dyDescent="0.2">
      <c r="A301" s="19" t="s">
        <v>29</v>
      </c>
      <c r="B301" s="19" t="s">
        <v>1363</v>
      </c>
      <c r="C301" s="19">
        <v>3</v>
      </c>
      <c r="D301" s="19">
        <v>2025</v>
      </c>
      <c r="E301" s="19" t="s">
        <v>2173</v>
      </c>
      <c r="F301" s="19">
        <v>2</v>
      </c>
    </row>
    <row r="302" spans="1:6" x14ac:dyDescent="0.2">
      <c r="A302" s="19" t="s">
        <v>14</v>
      </c>
      <c r="B302" s="19" t="s">
        <v>1364</v>
      </c>
      <c r="C302" s="19">
        <v>3</v>
      </c>
      <c r="D302" s="19">
        <v>2025</v>
      </c>
      <c r="E302" s="19" t="s">
        <v>2174</v>
      </c>
      <c r="F302" s="19">
        <v>2</v>
      </c>
    </row>
    <row r="303" spans="1:6" x14ac:dyDescent="0.2">
      <c r="A303" s="19" t="s">
        <v>28</v>
      </c>
      <c r="B303" s="19" t="s">
        <v>1365</v>
      </c>
      <c r="C303" s="19">
        <v>3</v>
      </c>
      <c r="D303" s="19">
        <v>2025</v>
      </c>
      <c r="E303" s="19" t="s">
        <v>2175</v>
      </c>
      <c r="F303" s="19">
        <v>3</v>
      </c>
    </row>
    <row r="304" spans="1:6" x14ac:dyDescent="0.2">
      <c r="A304" s="19" t="s">
        <v>18</v>
      </c>
      <c r="B304" s="19" t="s">
        <v>1366</v>
      </c>
      <c r="C304" s="19">
        <v>3</v>
      </c>
      <c r="D304" s="19">
        <v>2025</v>
      </c>
      <c r="E304" s="19" t="s">
        <v>2176</v>
      </c>
      <c r="F304" s="19">
        <v>2</v>
      </c>
    </row>
    <row r="305" spans="1:6" x14ac:dyDescent="0.2">
      <c r="A305" s="19" t="s">
        <v>11</v>
      </c>
      <c r="B305" s="19" t="s">
        <v>1367</v>
      </c>
      <c r="C305" s="19">
        <v>3</v>
      </c>
      <c r="D305" s="19">
        <v>2025</v>
      </c>
      <c r="E305" s="19" t="s">
        <v>2177</v>
      </c>
      <c r="F305" s="19">
        <v>3</v>
      </c>
    </row>
    <row r="306" spans="1:6" x14ac:dyDescent="0.2">
      <c r="A306" s="19" t="s">
        <v>30</v>
      </c>
      <c r="B306" s="19" t="s">
        <v>1368</v>
      </c>
      <c r="C306" s="19">
        <v>3</v>
      </c>
      <c r="D306" s="19">
        <v>2025</v>
      </c>
      <c r="E306" s="19" t="s">
        <v>2178</v>
      </c>
      <c r="F306" s="19">
        <v>1</v>
      </c>
    </row>
    <row r="307" spans="1:6" x14ac:dyDescent="0.2">
      <c r="A307" s="19" t="s">
        <v>16</v>
      </c>
      <c r="B307" s="19" t="s">
        <v>1369</v>
      </c>
      <c r="C307" s="19">
        <v>3</v>
      </c>
      <c r="D307" s="19">
        <v>2025</v>
      </c>
      <c r="E307" s="19" t="s">
        <v>2179</v>
      </c>
      <c r="F307" s="19">
        <v>1</v>
      </c>
    </row>
    <row r="308" spans="1:6" x14ac:dyDescent="0.2">
      <c r="A308" s="19" t="s">
        <v>20</v>
      </c>
      <c r="B308" s="19" t="s">
        <v>1370</v>
      </c>
      <c r="C308" s="19">
        <v>3</v>
      </c>
      <c r="D308" s="19">
        <v>2025</v>
      </c>
      <c r="E308" s="19" t="s">
        <v>2180</v>
      </c>
      <c r="F308" s="19">
        <v>2</v>
      </c>
    </row>
    <row r="309" spans="1:6" x14ac:dyDescent="0.2">
      <c r="A309" s="19" t="s">
        <v>25</v>
      </c>
      <c r="B309" s="19" t="s">
        <v>1371</v>
      </c>
      <c r="C309" s="19">
        <v>3</v>
      </c>
      <c r="D309" s="19">
        <v>2025</v>
      </c>
      <c r="E309" s="19" t="s">
        <v>2181</v>
      </c>
    </row>
    <row r="310" spans="1:6" x14ac:dyDescent="0.2">
      <c r="A310" s="19" t="s">
        <v>22</v>
      </c>
      <c r="B310" s="19" t="s">
        <v>1372</v>
      </c>
      <c r="C310" s="19">
        <v>3</v>
      </c>
      <c r="D310" s="19">
        <v>2025</v>
      </c>
      <c r="E310" s="19" t="s">
        <v>2182</v>
      </c>
      <c r="F310" s="19">
        <v>2</v>
      </c>
    </row>
    <row r="311" spans="1:6" x14ac:dyDescent="0.2">
      <c r="A311" s="19" t="s">
        <v>32</v>
      </c>
      <c r="B311" s="19" t="s">
        <v>1373</v>
      </c>
      <c r="C311" s="19">
        <v>3</v>
      </c>
      <c r="D311" s="19">
        <v>2025</v>
      </c>
      <c r="E311" s="19" t="s">
        <v>2183</v>
      </c>
      <c r="F311" s="19">
        <v>2</v>
      </c>
    </row>
    <row r="312" spans="1:6" x14ac:dyDescent="0.2">
      <c r="A312" s="19" t="s">
        <v>34</v>
      </c>
      <c r="B312" s="19" t="s">
        <v>1374</v>
      </c>
      <c r="C312" s="19">
        <v>3</v>
      </c>
      <c r="D312" s="19">
        <v>2025</v>
      </c>
      <c r="E312" s="19" t="s">
        <v>2184</v>
      </c>
      <c r="F312" s="19">
        <v>1</v>
      </c>
    </row>
    <row r="313" spans="1:6" x14ac:dyDescent="0.2">
      <c r="A313" s="19" t="s">
        <v>26</v>
      </c>
      <c r="B313" s="19" t="s">
        <v>1375</v>
      </c>
      <c r="C313" s="19">
        <v>3</v>
      </c>
      <c r="D313" s="19">
        <v>2025</v>
      </c>
      <c r="E313" s="19" t="s">
        <v>2185</v>
      </c>
      <c r="F313" s="19">
        <v>1</v>
      </c>
    </row>
    <row r="314" spans="1:6" x14ac:dyDescent="0.2">
      <c r="A314" s="19" t="s">
        <v>27</v>
      </c>
      <c r="B314" s="19" t="s">
        <v>1376</v>
      </c>
      <c r="C314" s="19">
        <v>3</v>
      </c>
      <c r="D314" s="19">
        <v>2025</v>
      </c>
      <c r="E314" s="19" t="s">
        <v>2186</v>
      </c>
    </row>
    <row r="315" spans="1:6" x14ac:dyDescent="0.2">
      <c r="A315" s="19" t="s">
        <v>31</v>
      </c>
      <c r="B315" s="19" t="s">
        <v>1358</v>
      </c>
      <c r="C315" s="19">
        <v>3</v>
      </c>
      <c r="D315" s="19">
        <v>2025</v>
      </c>
      <c r="E315" s="19" t="s">
        <v>2187</v>
      </c>
    </row>
    <row r="316" spans="1:6" x14ac:dyDescent="0.2">
      <c r="A316" s="19" t="s">
        <v>33</v>
      </c>
      <c r="B316" s="19" t="s">
        <v>1377</v>
      </c>
      <c r="C316" s="19">
        <v>3</v>
      </c>
      <c r="D316" s="19">
        <v>2025</v>
      </c>
      <c r="E316" s="19" t="s">
        <v>2188</v>
      </c>
    </row>
    <row r="317" spans="1:6" x14ac:dyDescent="0.2">
      <c r="A317" s="19" t="s">
        <v>6</v>
      </c>
      <c r="B317" s="19" t="s">
        <v>1357</v>
      </c>
      <c r="C317" s="19">
        <v>4</v>
      </c>
      <c r="D317" s="19">
        <v>2025</v>
      </c>
      <c r="E317" s="19" t="s">
        <v>2189</v>
      </c>
    </row>
    <row r="318" spans="1:6" x14ac:dyDescent="0.2">
      <c r="A318" s="19" t="s">
        <v>23</v>
      </c>
      <c r="B318" s="19" t="s">
        <v>1359</v>
      </c>
      <c r="C318" s="19">
        <v>4</v>
      </c>
      <c r="D318" s="19">
        <v>2025</v>
      </c>
      <c r="E318" s="19" t="s">
        <v>2190</v>
      </c>
      <c r="F318" s="19">
        <v>5</v>
      </c>
    </row>
    <row r="319" spans="1:6" x14ac:dyDescent="0.2">
      <c r="A319" s="19" t="s">
        <v>21</v>
      </c>
      <c r="B319" s="19" t="s">
        <v>1360</v>
      </c>
      <c r="C319" s="19">
        <v>4</v>
      </c>
      <c r="D319" s="19">
        <v>2025</v>
      </c>
      <c r="E319" s="19" t="s">
        <v>2191</v>
      </c>
      <c r="F319" s="19">
        <v>1</v>
      </c>
    </row>
    <row r="320" spans="1:6" x14ac:dyDescent="0.2">
      <c r="A320" s="19" t="s">
        <v>1</v>
      </c>
      <c r="B320" s="19" t="s">
        <v>1361</v>
      </c>
      <c r="C320" s="19">
        <v>4</v>
      </c>
      <c r="D320" s="19">
        <v>2025</v>
      </c>
      <c r="E320" s="19" t="s">
        <v>2192</v>
      </c>
      <c r="F320" s="19">
        <v>2</v>
      </c>
    </row>
    <row r="321" spans="1:6" x14ac:dyDescent="0.2">
      <c r="A321" s="19" t="s">
        <v>24</v>
      </c>
      <c r="B321" s="19" t="s">
        <v>1362</v>
      </c>
      <c r="C321" s="19">
        <v>4</v>
      </c>
      <c r="D321" s="19">
        <v>2025</v>
      </c>
      <c r="E321" s="19" t="s">
        <v>2193</v>
      </c>
      <c r="F321" s="19">
        <v>1</v>
      </c>
    </row>
    <row r="322" spans="1:6" x14ac:dyDescent="0.2">
      <c r="A322" s="19" t="s">
        <v>29</v>
      </c>
      <c r="B322" s="19" t="s">
        <v>1363</v>
      </c>
      <c r="C322" s="19">
        <v>4</v>
      </c>
      <c r="D322" s="19">
        <v>2025</v>
      </c>
      <c r="E322" s="19" t="s">
        <v>2194</v>
      </c>
      <c r="F322" s="19">
        <v>3</v>
      </c>
    </row>
    <row r="323" spans="1:6" x14ac:dyDescent="0.2">
      <c r="A323" s="19" t="s">
        <v>14</v>
      </c>
      <c r="B323" s="19" t="s">
        <v>1364</v>
      </c>
      <c r="C323" s="19">
        <v>4</v>
      </c>
      <c r="D323" s="19">
        <v>2025</v>
      </c>
      <c r="E323" s="19" t="s">
        <v>2195</v>
      </c>
      <c r="F323" s="19">
        <v>2</v>
      </c>
    </row>
    <row r="324" spans="1:6" x14ac:dyDescent="0.2">
      <c r="A324" s="19" t="s">
        <v>28</v>
      </c>
      <c r="B324" s="19" t="s">
        <v>1365</v>
      </c>
      <c r="C324" s="19">
        <v>4</v>
      </c>
      <c r="D324" s="19">
        <v>2025</v>
      </c>
      <c r="E324" s="19" t="s">
        <v>2196</v>
      </c>
      <c r="F324" s="19">
        <v>3</v>
      </c>
    </row>
    <row r="325" spans="1:6" x14ac:dyDescent="0.2">
      <c r="A325" s="19" t="s">
        <v>18</v>
      </c>
      <c r="B325" s="19" t="s">
        <v>1366</v>
      </c>
      <c r="C325" s="19">
        <v>4</v>
      </c>
      <c r="D325" s="19">
        <v>2025</v>
      </c>
      <c r="E325" s="19" t="s">
        <v>2197</v>
      </c>
      <c r="F325" s="19">
        <v>2</v>
      </c>
    </row>
    <row r="326" spans="1:6" x14ac:dyDescent="0.2">
      <c r="A326" s="19" t="s">
        <v>11</v>
      </c>
      <c r="B326" s="19" t="s">
        <v>1367</v>
      </c>
      <c r="C326" s="19">
        <v>4</v>
      </c>
      <c r="D326" s="19">
        <v>2025</v>
      </c>
      <c r="E326" s="19" t="s">
        <v>2198</v>
      </c>
      <c r="F326" s="19">
        <v>1</v>
      </c>
    </row>
    <row r="327" spans="1:6" x14ac:dyDescent="0.2">
      <c r="A327" s="19" t="s">
        <v>30</v>
      </c>
      <c r="B327" s="19" t="s">
        <v>1368</v>
      </c>
      <c r="C327" s="19">
        <v>4</v>
      </c>
      <c r="D327" s="19">
        <v>2025</v>
      </c>
      <c r="E327" s="19" t="s">
        <v>2199</v>
      </c>
      <c r="F327" s="19">
        <v>1</v>
      </c>
    </row>
    <row r="328" spans="1:6" x14ac:dyDescent="0.2">
      <c r="A328" s="19" t="s">
        <v>16</v>
      </c>
      <c r="B328" s="19" t="s">
        <v>1369</v>
      </c>
      <c r="C328" s="19">
        <v>4</v>
      </c>
      <c r="D328" s="19">
        <v>2025</v>
      </c>
      <c r="E328" s="19" t="s">
        <v>2200</v>
      </c>
      <c r="F328" s="19">
        <v>1</v>
      </c>
    </row>
    <row r="329" spans="1:6" x14ac:dyDescent="0.2">
      <c r="A329" s="19" t="s">
        <v>20</v>
      </c>
      <c r="B329" s="19" t="s">
        <v>1370</v>
      </c>
      <c r="C329" s="19">
        <v>4</v>
      </c>
      <c r="D329" s="19">
        <v>2025</v>
      </c>
      <c r="E329" s="19" t="s">
        <v>2201</v>
      </c>
      <c r="F329" s="19">
        <v>1</v>
      </c>
    </row>
    <row r="330" spans="1:6" x14ac:dyDescent="0.2">
      <c r="A330" s="19" t="s">
        <v>25</v>
      </c>
      <c r="B330" s="19" t="s">
        <v>1371</v>
      </c>
      <c r="C330" s="19">
        <v>4</v>
      </c>
      <c r="D330" s="19">
        <v>2025</v>
      </c>
      <c r="E330" s="19" t="s">
        <v>2202</v>
      </c>
      <c r="F330" s="19">
        <v>2</v>
      </c>
    </row>
    <row r="331" spans="1:6" x14ac:dyDescent="0.2">
      <c r="A331" s="19" t="s">
        <v>22</v>
      </c>
      <c r="B331" s="19" t="s">
        <v>1372</v>
      </c>
      <c r="C331" s="19">
        <v>4</v>
      </c>
      <c r="D331" s="19">
        <v>2025</v>
      </c>
      <c r="E331" s="19" t="s">
        <v>2203</v>
      </c>
      <c r="F331" s="19">
        <v>1</v>
      </c>
    </row>
    <row r="332" spans="1:6" x14ac:dyDescent="0.2">
      <c r="A332" s="19" t="s">
        <v>32</v>
      </c>
      <c r="B332" s="19" t="s">
        <v>1373</v>
      </c>
      <c r="C332" s="19">
        <v>4</v>
      </c>
      <c r="D332" s="19">
        <v>2025</v>
      </c>
      <c r="E332" s="19" t="s">
        <v>2204</v>
      </c>
      <c r="F332" s="19">
        <v>1</v>
      </c>
    </row>
    <row r="333" spans="1:6" x14ac:dyDescent="0.2">
      <c r="A333" s="19" t="s">
        <v>34</v>
      </c>
      <c r="B333" s="19" t="s">
        <v>1374</v>
      </c>
      <c r="C333" s="19">
        <v>4</v>
      </c>
      <c r="D333" s="19">
        <v>2025</v>
      </c>
      <c r="E333" s="19" t="s">
        <v>2205</v>
      </c>
      <c r="F333" s="19">
        <v>2</v>
      </c>
    </row>
    <row r="334" spans="1:6" x14ac:dyDescent="0.2">
      <c r="A334" s="19" t="s">
        <v>26</v>
      </c>
      <c r="B334" s="19" t="s">
        <v>1375</v>
      </c>
      <c r="C334" s="19">
        <v>4</v>
      </c>
      <c r="D334" s="19">
        <v>2025</v>
      </c>
      <c r="E334" s="19" t="s">
        <v>2206</v>
      </c>
      <c r="F334" s="19">
        <v>1</v>
      </c>
    </row>
    <row r="335" spans="1:6" x14ac:dyDescent="0.2">
      <c r="A335" s="19" t="s">
        <v>27</v>
      </c>
      <c r="B335" s="19" t="s">
        <v>1376</v>
      </c>
      <c r="C335" s="19">
        <v>4</v>
      </c>
      <c r="D335" s="19">
        <v>2025</v>
      </c>
      <c r="E335" s="19" t="s">
        <v>2207</v>
      </c>
      <c r="F335" s="19">
        <v>1</v>
      </c>
    </row>
    <row r="336" spans="1:6" x14ac:dyDescent="0.2">
      <c r="A336" s="19" t="s">
        <v>31</v>
      </c>
      <c r="B336" s="19" t="s">
        <v>1358</v>
      </c>
      <c r="C336" s="19">
        <v>4</v>
      </c>
      <c r="D336" s="19">
        <v>2025</v>
      </c>
      <c r="E336" s="19" t="s">
        <v>2208</v>
      </c>
      <c r="F336" s="19">
        <v>1</v>
      </c>
    </row>
    <row r="337" spans="1:6" x14ac:dyDescent="0.2">
      <c r="A337" s="19" t="s">
        <v>33</v>
      </c>
      <c r="B337" s="19" t="s">
        <v>1377</v>
      </c>
      <c r="C337" s="19">
        <v>4</v>
      </c>
      <c r="D337" s="19">
        <v>2025</v>
      </c>
      <c r="E337" s="19" t="s">
        <v>2209</v>
      </c>
      <c r="F337" s="19">
        <v>1</v>
      </c>
    </row>
    <row r="338" spans="1:6" x14ac:dyDescent="0.2">
      <c r="A338" s="19" t="s">
        <v>6</v>
      </c>
      <c r="B338" s="19" t="s">
        <v>1357</v>
      </c>
      <c r="C338" s="19">
        <v>5</v>
      </c>
      <c r="D338" s="19">
        <v>2025</v>
      </c>
      <c r="E338" s="19" t="s">
        <v>2210</v>
      </c>
      <c r="F338" s="19">
        <v>5</v>
      </c>
    </row>
    <row r="339" spans="1:6" x14ac:dyDescent="0.2">
      <c r="A339" s="19" t="s">
        <v>23</v>
      </c>
      <c r="B339" s="19" t="s">
        <v>1359</v>
      </c>
      <c r="C339" s="19">
        <v>5</v>
      </c>
      <c r="D339" s="19">
        <v>2025</v>
      </c>
      <c r="E339" s="19" t="s">
        <v>2211</v>
      </c>
      <c r="F339" s="19">
        <v>1</v>
      </c>
    </row>
    <row r="340" spans="1:6" x14ac:dyDescent="0.2">
      <c r="A340" s="19" t="s">
        <v>21</v>
      </c>
      <c r="B340" s="19" t="s">
        <v>1360</v>
      </c>
      <c r="C340" s="19">
        <v>5</v>
      </c>
      <c r="D340" s="19">
        <v>2025</v>
      </c>
      <c r="E340" s="19" t="s">
        <v>2212</v>
      </c>
      <c r="F340" s="19">
        <v>2</v>
      </c>
    </row>
    <row r="341" spans="1:6" x14ac:dyDescent="0.2">
      <c r="A341" s="19" t="s">
        <v>1</v>
      </c>
      <c r="B341" s="19" t="s">
        <v>1361</v>
      </c>
      <c r="C341" s="19">
        <v>5</v>
      </c>
      <c r="D341" s="19">
        <v>2025</v>
      </c>
      <c r="E341" s="19" t="s">
        <v>2213</v>
      </c>
      <c r="F341" s="19">
        <v>2</v>
      </c>
    </row>
    <row r="342" spans="1:6" x14ac:dyDescent="0.2">
      <c r="A342" s="19" t="s">
        <v>24</v>
      </c>
      <c r="B342" s="19" t="s">
        <v>1362</v>
      </c>
      <c r="C342" s="19">
        <v>5</v>
      </c>
      <c r="D342" s="19">
        <v>2025</v>
      </c>
      <c r="E342" s="19" t="s">
        <v>2214</v>
      </c>
      <c r="F342" s="19">
        <v>2</v>
      </c>
    </row>
    <row r="343" spans="1:6" x14ac:dyDescent="0.2">
      <c r="A343" s="19" t="s">
        <v>29</v>
      </c>
      <c r="B343" s="19" t="s">
        <v>1363</v>
      </c>
      <c r="C343" s="19">
        <v>5</v>
      </c>
      <c r="D343" s="19">
        <v>2025</v>
      </c>
      <c r="E343" s="19" t="s">
        <v>2215</v>
      </c>
      <c r="F343" s="19">
        <v>2</v>
      </c>
    </row>
    <row r="344" spans="1:6" x14ac:dyDescent="0.2">
      <c r="A344" s="19" t="s">
        <v>14</v>
      </c>
      <c r="B344" s="19" t="s">
        <v>1364</v>
      </c>
      <c r="C344" s="19">
        <v>5</v>
      </c>
      <c r="D344" s="19">
        <v>2025</v>
      </c>
      <c r="E344" s="19" t="s">
        <v>2216</v>
      </c>
      <c r="F344" s="19">
        <v>2</v>
      </c>
    </row>
    <row r="345" spans="1:6" x14ac:dyDescent="0.2">
      <c r="A345" s="19" t="s">
        <v>28</v>
      </c>
      <c r="B345" s="19" t="s">
        <v>1365</v>
      </c>
      <c r="C345" s="19">
        <v>5</v>
      </c>
      <c r="D345" s="19">
        <v>2025</v>
      </c>
      <c r="E345" s="19" t="s">
        <v>2217</v>
      </c>
      <c r="F345" s="19">
        <v>3</v>
      </c>
    </row>
    <row r="346" spans="1:6" x14ac:dyDescent="0.2">
      <c r="A346" s="19" t="s">
        <v>18</v>
      </c>
      <c r="B346" s="19" t="s">
        <v>1366</v>
      </c>
      <c r="C346" s="19">
        <v>5</v>
      </c>
      <c r="D346" s="19">
        <v>2025</v>
      </c>
      <c r="E346" s="19" t="s">
        <v>2218</v>
      </c>
      <c r="F346" s="19">
        <v>1</v>
      </c>
    </row>
    <row r="347" spans="1:6" x14ac:dyDescent="0.2">
      <c r="A347" s="19" t="s">
        <v>11</v>
      </c>
      <c r="B347" s="19" t="s">
        <v>1367</v>
      </c>
      <c r="C347" s="19">
        <v>5</v>
      </c>
      <c r="D347" s="19">
        <v>2025</v>
      </c>
      <c r="E347" s="19" t="s">
        <v>2219</v>
      </c>
      <c r="F347" s="19">
        <v>1</v>
      </c>
    </row>
    <row r="348" spans="1:6" x14ac:dyDescent="0.2">
      <c r="A348" s="19" t="s">
        <v>30</v>
      </c>
      <c r="B348" s="19" t="s">
        <v>1368</v>
      </c>
      <c r="C348" s="19">
        <v>5</v>
      </c>
      <c r="D348" s="19">
        <v>2025</v>
      </c>
      <c r="E348" s="19" t="s">
        <v>2220</v>
      </c>
      <c r="F348" s="19">
        <v>2</v>
      </c>
    </row>
    <row r="349" spans="1:6" x14ac:dyDescent="0.2">
      <c r="A349" s="19" t="s">
        <v>16</v>
      </c>
      <c r="B349" s="19" t="s">
        <v>1369</v>
      </c>
      <c r="C349" s="19">
        <v>5</v>
      </c>
      <c r="D349" s="19">
        <v>2025</v>
      </c>
      <c r="E349" s="19" t="s">
        <v>2221</v>
      </c>
      <c r="F349" s="19">
        <v>1</v>
      </c>
    </row>
    <row r="350" spans="1:6" x14ac:dyDescent="0.2">
      <c r="A350" s="19" t="s">
        <v>20</v>
      </c>
      <c r="B350" s="19" t="s">
        <v>1370</v>
      </c>
      <c r="C350" s="19">
        <v>5</v>
      </c>
      <c r="D350" s="19">
        <v>2025</v>
      </c>
      <c r="E350" s="19" t="s">
        <v>2222</v>
      </c>
      <c r="F350" s="19">
        <v>3</v>
      </c>
    </row>
    <row r="351" spans="1:6" x14ac:dyDescent="0.2">
      <c r="A351" s="19" t="s">
        <v>25</v>
      </c>
      <c r="B351" s="19" t="s">
        <v>1371</v>
      </c>
      <c r="C351" s="19">
        <v>5</v>
      </c>
      <c r="D351" s="19">
        <v>2025</v>
      </c>
      <c r="E351" s="19" t="s">
        <v>2223</v>
      </c>
      <c r="F351" s="19">
        <v>1</v>
      </c>
    </row>
    <row r="352" spans="1:6" x14ac:dyDescent="0.2">
      <c r="A352" s="19" t="s">
        <v>22</v>
      </c>
      <c r="B352" s="19" t="s">
        <v>1372</v>
      </c>
      <c r="C352" s="19">
        <v>5</v>
      </c>
      <c r="D352" s="19">
        <v>2025</v>
      </c>
      <c r="E352" s="19" t="s">
        <v>2224</v>
      </c>
      <c r="F352" s="19">
        <v>1</v>
      </c>
    </row>
    <row r="353" spans="1:6" x14ac:dyDescent="0.2">
      <c r="A353" s="19" t="s">
        <v>32</v>
      </c>
      <c r="B353" s="19" t="s">
        <v>1373</v>
      </c>
      <c r="C353" s="19">
        <v>5</v>
      </c>
      <c r="D353" s="19">
        <v>2025</v>
      </c>
      <c r="E353" s="19" t="s">
        <v>2225</v>
      </c>
      <c r="F353" s="19">
        <v>1</v>
      </c>
    </row>
    <row r="354" spans="1:6" x14ac:dyDescent="0.2">
      <c r="A354" s="19" t="s">
        <v>34</v>
      </c>
      <c r="B354" s="19" t="s">
        <v>1374</v>
      </c>
      <c r="C354" s="19">
        <v>5</v>
      </c>
      <c r="D354" s="19">
        <v>2025</v>
      </c>
      <c r="E354" s="19" t="s">
        <v>2226</v>
      </c>
      <c r="F354" s="19">
        <v>1</v>
      </c>
    </row>
    <row r="355" spans="1:6" x14ac:dyDescent="0.2">
      <c r="A355" s="19" t="s">
        <v>26</v>
      </c>
      <c r="B355" s="19" t="s">
        <v>1375</v>
      </c>
      <c r="C355" s="19">
        <v>5</v>
      </c>
      <c r="D355" s="19">
        <v>2025</v>
      </c>
      <c r="E355" s="19" t="s">
        <v>2227</v>
      </c>
      <c r="F355" s="19">
        <v>1</v>
      </c>
    </row>
    <row r="356" spans="1:6" x14ac:dyDescent="0.2">
      <c r="A356" s="19" t="s">
        <v>27</v>
      </c>
      <c r="B356" s="19" t="s">
        <v>1376</v>
      </c>
      <c r="C356" s="19">
        <v>5</v>
      </c>
      <c r="D356" s="19">
        <v>2025</v>
      </c>
      <c r="E356" s="19" t="s">
        <v>2228</v>
      </c>
    </row>
    <row r="357" spans="1:6" x14ac:dyDescent="0.2">
      <c r="A357" s="19" t="s">
        <v>31</v>
      </c>
      <c r="B357" s="19" t="s">
        <v>1358</v>
      </c>
      <c r="C357" s="19">
        <v>5</v>
      </c>
      <c r="D357" s="19">
        <v>2025</v>
      </c>
      <c r="E357" s="19" t="s">
        <v>2229</v>
      </c>
    </row>
    <row r="358" spans="1:6" x14ac:dyDescent="0.2">
      <c r="A358" s="19" t="s">
        <v>33</v>
      </c>
      <c r="B358" s="19" t="s">
        <v>1377</v>
      </c>
      <c r="C358" s="19">
        <v>5</v>
      </c>
      <c r="D358" s="19">
        <v>2025</v>
      </c>
      <c r="E358" s="19" t="s">
        <v>2230</v>
      </c>
      <c r="F358" s="19">
        <v>6</v>
      </c>
    </row>
    <row r="359" spans="1:6" x14ac:dyDescent="0.2">
      <c r="A359" s="19" t="s">
        <v>6</v>
      </c>
      <c r="B359" s="19" t="s">
        <v>1357</v>
      </c>
      <c r="C359" s="19">
        <v>6</v>
      </c>
      <c r="D359" s="19">
        <v>2025</v>
      </c>
      <c r="E359" s="19" t="s">
        <v>2231</v>
      </c>
      <c r="F359" s="19">
        <v>2</v>
      </c>
    </row>
    <row r="360" spans="1:6" x14ac:dyDescent="0.2">
      <c r="A360" s="19" t="s">
        <v>23</v>
      </c>
      <c r="B360" s="19" t="s">
        <v>1359</v>
      </c>
      <c r="C360" s="19">
        <v>6</v>
      </c>
      <c r="D360" s="19">
        <v>2025</v>
      </c>
      <c r="E360" s="19" t="s">
        <v>2232</v>
      </c>
      <c r="F360" s="19">
        <v>2</v>
      </c>
    </row>
    <row r="361" spans="1:6" x14ac:dyDescent="0.2">
      <c r="A361" s="19" t="s">
        <v>21</v>
      </c>
      <c r="B361" s="19" t="s">
        <v>1360</v>
      </c>
      <c r="C361" s="19">
        <v>6</v>
      </c>
      <c r="D361" s="19">
        <v>2025</v>
      </c>
      <c r="E361" s="19" t="s">
        <v>2233</v>
      </c>
      <c r="F361" s="19">
        <v>1</v>
      </c>
    </row>
    <row r="362" spans="1:6" x14ac:dyDescent="0.2">
      <c r="A362" s="19" t="s">
        <v>1</v>
      </c>
      <c r="B362" s="19" t="s">
        <v>1361</v>
      </c>
      <c r="C362" s="19">
        <v>6</v>
      </c>
      <c r="D362" s="19">
        <v>2025</v>
      </c>
      <c r="E362" s="19" t="s">
        <v>2234</v>
      </c>
      <c r="F362" s="19">
        <v>3</v>
      </c>
    </row>
    <row r="363" spans="1:6" x14ac:dyDescent="0.2">
      <c r="A363" s="19" t="s">
        <v>24</v>
      </c>
      <c r="B363" s="19" t="s">
        <v>1362</v>
      </c>
      <c r="C363" s="19">
        <v>6</v>
      </c>
      <c r="D363" s="19">
        <v>2025</v>
      </c>
      <c r="E363" s="19" t="s">
        <v>2235</v>
      </c>
      <c r="F363" s="19">
        <v>3</v>
      </c>
    </row>
    <row r="364" spans="1:6" x14ac:dyDescent="0.2">
      <c r="A364" s="19" t="s">
        <v>29</v>
      </c>
      <c r="B364" s="19" t="s">
        <v>1363</v>
      </c>
      <c r="C364" s="19">
        <v>6</v>
      </c>
      <c r="D364" s="19">
        <v>2025</v>
      </c>
      <c r="E364" s="19" t="s">
        <v>2236</v>
      </c>
      <c r="F364" s="19">
        <v>2</v>
      </c>
    </row>
    <row r="365" spans="1:6" x14ac:dyDescent="0.2">
      <c r="A365" s="19" t="s">
        <v>14</v>
      </c>
      <c r="B365" s="19" t="s">
        <v>1364</v>
      </c>
      <c r="C365" s="19">
        <v>6</v>
      </c>
      <c r="D365" s="19">
        <v>2025</v>
      </c>
      <c r="E365" s="19" t="s">
        <v>2237</v>
      </c>
      <c r="F365" s="19">
        <v>2</v>
      </c>
    </row>
    <row r="366" spans="1:6" x14ac:dyDescent="0.2">
      <c r="A366" s="19" t="s">
        <v>28</v>
      </c>
      <c r="B366" s="19" t="s">
        <v>1365</v>
      </c>
      <c r="C366" s="19">
        <v>6</v>
      </c>
      <c r="D366" s="19">
        <v>2025</v>
      </c>
      <c r="E366" s="19" t="s">
        <v>2238</v>
      </c>
      <c r="F366" s="19">
        <v>1</v>
      </c>
    </row>
    <row r="367" spans="1:6" x14ac:dyDescent="0.2">
      <c r="A367" s="19" t="s">
        <v>18</v>
      </c>
      <c r="B367" s="19" t="s">
        <v>1366</v>
      </c>
      <c r="C367" s="19">
        <v>6</v>
      </c>
      <c r="D367" s="19">
        <v>2025</v>
      </c>
      <c r="E367" s="19" t="s">
        <v>2239</v>
      </c>
      <c r="F367" s="19">
        <v>1</v>
      </c>
    </row>
    <row r="368" spans="1:6" x14ac:dyDescent="0.2">
      <c r="A368" s="19" t="s">
        <v>11</v>
      </c>
      <c r="B368" s="19" t="s">
        <v>1367</v>
      </c>
      <c r="C368" s="19">
        <v>6</v>
      </c>
      <c r="D368" s="19">
        <v>2025</v>
      </c>
      <c r="E368" s="19" t="s">
        <v>2240</v>
      </c>
      <c r="F368" s="19">
        <v>1</v>
      </c>
    </row>
    <row r="369" spans="1:6" x14ac:dyDescent="0.2">
      <c r="A369" s="19" t="s">
        <v>30</v>
      </c>
      <c r="B369" s="19" t="s">
        <v>1368</v>
      </c>
      <c r="C369" s="19">
        <v>6</v>
      </c>
      <c r="D369" s="19">
        <v>2025</v>
      </c>
      <c r="E369" s="19" t="s">
        <v>2241</v>
      </c>
      <c r="F369" s="19">
        <v>1</v>
      </c>
    </row>
    <row r="370" spans="1:6" x14ac:dyDescent="0.2">
      <c r="A370" s="19" t="s">
        <v>16</v>
      </c>
      <c r="B370" s="19" t="s">
        <v>1369</v>
      </c>
      <c r="C370" s="19">
        <v>6</v>
      </c>
      <c r="D370" s="19">
        <v>2025</v>
      </c>
      <c r="E370" s="19" t="s">
        <v>2242</v>
      </c>
    </row>
    <row r="371" spans="1:6" x14ac:dyDescent="0.2">
      <c r="A371" s="19" t="s">
        <v>20</v>
      </c>
      <c r="B371" s="19" t="s">
        <v>1370</v>
      </c>
      <c r="C371" s="19">
        <v>6</v>
      </c>
      <c r="D371" s="19">
        <v>2025</v>
      </c>
      <c r="E371" s="19" t="s">
        <v>2243</v>
      </c>
      <c r="F371" s="19">
        <v>3</v>
      </c>
    </row>
    <row r="372" spans="1:6" x14ac:dyDescent="0.2">
      <c r="A372" s="19" t="s">
        <v>25</v>
      </c>
      <c r="B372" s="19" t="s">
        <v>1371</v>
      </c>
      <c r="C372" s="19">
        <v>6</v>
      </c>
      <c r="D372" s="19">
        <v>2025</v>
      </c>
      <c r="E372" s="19" t="s">
        <v>2244</v>
      </c>
      <c r="F372" s="19">
        <v>2</v>
      </c>
    </row>
    <row r="373" spans="1:6" x14ac:dyDescent="0.2">
      <c r="A373" s="19" t="s">
        <v>22</v>
      </c>
      <c r="B373" s="19" t="s">
        <v>1372</v>
      </c>
      <c r="C373" s="19">
        <v>6</v>
      </c>
      <c r="D373" s="19">
        <v>2025</v>
      </c>
      <c r="E373" s="19" t="s">
        <v>2245</v>
      </c>
      <c r="F373" s="19">
        <v>1</v>
      </c>
    </row>
    <row r="374" spans="1:6" x14ac:dyDescent="0.2">
      <c r="A374" s="19" t="s">
        <v>32</v>
      </c>
      <c r="B374" s="19" t="s">
        <v>1373</v>
      </c>
      <c r="C374" s="19">
        <v>6</v>
      </c>
      <c r="D374" s="19">
        <v>2025</v>
      </c>
      <c r="E374" s="19" t="s">
        <v>2246</v>
      </c>
      <c r="F374" s="19">
        <v>1</v>
      </c>
    </row>
    <row r="375" spans="1:6" x14ac:dyDescent="0.2">
      <c r="A375" s="19" t="s">
        <v>34</v>
      </c>
      <c r="B375" s="19" t="s">
        <v>1374</v>
      </c>
      <c r="C375" s="19">
        <v>6</v>
      </c>
      <c r="D375" s="19">
        <v>2025</v>
      </c>
      <c r="E375" s="19" t="s">
        <v>2247</v>
      </c>
      <c r="F375" s="19">
        <v>1</v>
      </c>
    </row>
    <row r="376" spans="1:6" x14ac:dyDescent="0.2">
      <c r="A376" s="19" t="s">
        <v>26</v>
      </c>
      <c r="B376" s="19" t="s">
        <v>1375</v>
      </c>
      <c r="C376" s="19">
        <v>6</v>
      </c>
      <c r="D376" s="19">
        <v>2025</v>
      </c>
      <c r="E376" s="19" t="s">
        <v>2248</v>
      </c>
      <c r="F376" s="19">
        <v>1</v>
      </c>
    </row>
    <row r="377" spans="1:6" x14ac:dyDescent="0.2">
      <c r="A377" s="19" t="s">
        <v>27</v>
      </c>
      <c r="B377" s="19" t="s">
        <v>1376</v>
      </c>
      <c r="C377" s="19">
        <v>6</v>
      </c>
      <c r="D377" s="19">
        <v>2025</v>
      </c>
      <c r="E377" s="19" t="s">
        <v>2249</v>
      </c>
      <c r="F377" s="19">
        <v>1</v>
      </c>
    </row>
    <row r="378" spans="1:6" x14ac:dyDescent="0.2">
      <c r="A378" s="19" t="s">
        <v>31</v>
      </c>
      <c r="B378" s="19" t="s">
        <v>1358</v>
      </c>
      <c r="C378" s="19">
        <v>6</v>
      </c>
      <c r="D378" s="19">
        <v>2025</v>
      </c>
      <c r="E378" s="19" t="s">
        <v>2250</v>
      </c>
      <c r="F378" s="19">
        <v>6</v>
      </c>
    </row>
    <row r="379" spans="1:6" x14ac:dyDescent="0.2">
      <c r="A379" s="19" t="s">
        <v>33</v>
      </c>
      <c r="B379" s="19" t="s">
        <v>1377</v>
      </c>
      <c r="C379" s="19">
        <v>6</v>
      </c>
      <c r="D379" s="19">
        <v>2025</v>
      </c>
      <c r="E379" s="19" t="s">
        <v>2251</v>
      </c>
      <c r="F379" s="19">
        <v>2</v>
      </c>
    </row>
    <row r="380" spans="1:6" x14ac:dyDescent="0.2">
      <c r="A380" s="19" t="s">
        <v>6</v>
      </c>
      <c r="B380" s="19" t="s">
        <v>1357</v>
      </c>
      <c r="C380" s="19">
        <v>7</v>
      </c>
      <c r="D380" s="19">
        <v>2025</v>
      </c>
      <c r="E380" s="19" t="s">
        <v>2252</v>
      </c>
      <c r="F380" s="19">
        <v>2</v>
      </c>
    </row>
    <row r="381" spans="1:6" x14ac:dyDescent="0.2">
      <c r="A381" s="19" t="s">
        <v>23</v>
      </c>
      <c r="B381" s="19" t="s">
        <v>1359</v>
      </c>
      <c r="C381" s="19">
        <v>7</v>
      </c>
      <c r="D381" s="19">
        <v>2025</v>
      </c>
      <c r="E381" s="19" t="s">
        <v>2253</v>
      </c>
      <c r="F381" s="19">
        <v>1</v>
      </c>
    </row>
    <row r="382" spans="1:6" x14ac:dyDescent="0.2">
      <c r="A382" s="19" t="s">
        <v>21</v>
      </c>
      <c r="B382" s="19" t="s">
        <v>1360</v>
      </c>
      <c r="C382" s="19">
        <v>7</v>
      </c>
      <c r="D382" s="19">
        <v>2025</v>
      </c>
      <c r="E382" s="19" t="s">
        <v>2254</v>
      </c>
      <c r="F382" s="19">
        <v>2</v>
      </c>
    </row>
    <row r="383" spans="1:6" x14ac:dyDescent="0.2">
      <c r="A383" s="19" t="s">
        <v>1</v>
      </c>
      <c r="B383" s="19" t="s">
        <v>1361</v>
      </c>
      <c r="C383" s="19">
        <v>7</v>
      </c>
      <c r="D383" s="19">
        <v>2025</v>
      </c>
      <c r="E383" s="19" t="s">
        <v>2255</v>
      </c>
      <c r="F383" s="19">
        <v>2</v>
      </c>
    </row>
    <row r="384" spans="1:6" x14ac:dyDescent="0.2">
      <c r="A384" s="19" t="s">
        <v>24</v>
      </c>
      <c r="B384" s="19" t="s">
        <v>1362</v>
      </c>
      <c r="C384" s="19">
        <v>7</v>
      </c>
      <c r="D384" s="19">
        <v>2025</v>
      </c>
      <c r="E384" s="19" t="s">
        <v>2256</v>
      </c>
      <c r="F384" s="19">
        <v>3</v>
      </c>
    </row>
    <row r="385" spans="1:6" x14ac:dyDescent="0.2">
      <c r="A385" s="19" t="s">
        <v>29</v>
      </c>
      <c r="B385" s="19" t="s">
        <v>1363</v>
      </c>
      <c r="C385" s="19">
        <v>7</v>
      </c>
      <c r="D385" s="19">
        <v>2025</v>
      </c>
      <c r="E385" s="19" t="s">
        <v>2257</v>
      </c>
      <c r="F385" s="19">
        <v>3</v>
      </c>
    </row>
    <row r="386" spans="1:6" x14ac:dyDescent="0.2">
      <c r="A386" s="19" t="s">
        <v>14</v>
      </c>
      <c r="B386" s="19" t="s">
        <v>1364</v>
      </c>
      <c r="C386" s="19">
        <v>7</v>
      </c>
      <c r="D386" s="19">
        <v>2025</v>
      </c>
      <c r="E386" s="19" t="s">
        <v>2258</v>
      </c>
      <c r="F386" s="19">
        <v>1</v>
      </c>
    </row>
    <row r="387" spans="1:6" x14ac:dyDescent="0.2">
      <c r="A387" s="19" t="s">
        <v>28</v>
      </c>
      <c r="B387" s="19" t="s">
        <v>1365</v>
      </c>
      <c r="C387" s="19">
        <v>7</v>
      </c>
      <c r="D387" s="19">
        <v>2025</v>
      </c>
      <c r="E387" s="19" t="s">
        <v>2259</v>
      </c>
      <c r="F387" s="19">
        <v>1</v>
      </c>
    </row>
    <row r="388" spans="1:6" x14ac:dyDescent="0.2">
      <c r="A388" s="19" t="s">
        <v>18</v>
      </c>
      <c r="B388" s="19" t="s">
        <v>1366</v>
      </c>
      <c r="C388" s="19">
        <v>7</v>
      </c>
      <c r="D388" s="19">
        <v>2025</v>
      </c>
      <c r="E388" s="19" t="s">
        <v>2260</v>
      </c>
      <c r="F388" s="19">
        <v>2</v>
      </c>
    </row>
    <row r="389" spans="1:6" x14ac:dyDescent="0.2">
      <c r="A389" s="19" t="s">
        <v>11</v>
      </c>
      <c r="B389" s="19" t="s">
        <v>1367</v>
      </c>
      <c r="C389" s="19">
        <v>7</v>
      </c>
      <c r="D389" s="19">
        <v>2025</v>
      </c>
      <c r="E389" s="19" t="s">
        <v>2261</v>
      </c>
    </row>
    <row r="390" spans="1:6" x14ac:dyDescent="0.2">
      <c r="A390" s="19" t="s">
        <v>30</v>
      </c>
      <c r="B390" s="19" t="s">
        <v>1368</v>
      </c>
      <c r="C390" s="19">
        <v>7</v>
      </c>
      <c r="D390" s="19">
        <v>2025</v>
      </c>
      <c r="E390" s="19" t="s">
        <v>2262</v>
      </c>
      <c r="F390" s="19">
        <v>2</v>
      </c>
    </row>
    <row r="391" spans="1:6" x14ac:dyDescent="0.2">
      <c r="A391" s="19" t="s">
        <v>16</v>
      </c>
      <c r="B391" s="19" t="s">
        <v>1369</v>
      </c>
      <c r="C391" s="19">
        <v>7</v>
      </c>
      <c r="D391" s="19">
        <v>2025</v>
      </c>
      <c r="E391" s="19" t="s">
        <v>2263</v>
      </c>
      <c r="F391" s="19">
        <v>1</v>
      </c>
    </row>
    <row r="392" spans="1:6" x14ac:dyDescent="0.2">
      <c r="A392" s="19" t="s">
        <v>20</v>
      </c>
      <c r="B392" s="19" t="s">
        <v>1370</v>
      </c>
      <c r="C392" s="19">
        <v>7</v>
      </c>
      <c r="D392" s="19">
        <v>2025</v>
      </c>
      <c r="E392" s="19" t="s">
        <v>2264</v>
      </c>
      <c r="F392" s="19">
        <v>2</v>
      </c>
    </row>
    <row r="393" spans="1:6" x14ac:dyDescent="0.2">
      <c r="A393" s="19" t="s">
        <v>25</v>
      </c>
      <c r="B393" s="19" t="s">
        <v>1371</v>
      </c>
      <c r="C393" s="19">
        <v>7</v>
      </c>
      <c r="D393" s="19">
        <v>2025</v>
      </c>
      <c r="E393" s="19" t="s">
        <v>2265</v>
      </c>
      <c r="F393" s="19">
        <v>2</v>
      </c>
    </row>
    <row r="394" spans="1:6" x14ac:dyDescent="0.2">
      <c r="A394" s="19" t="s">
        <v>22</v>
      </c>
      <c r="B394" s="19" t="s">
        <v>1372</v>
      </c>
      <c r="C394" s="19">
        <v>7</v>
      </c>
      <c r="D394" s="19">
        <v>2025</v>
      </c>
      <c r="E394" s="19" t="s">
        <v>2266</v>
      </c>
    </row>
    <row r="395" spans="1:6" x14ac:dyDescent="0.2">
      <c r="A395" s="19" t="s">
        <v>32</v>
      </c>
      <c r="B395" s="19" t="s">
        <v>1373</v>
      </c>
      <c r="C395" s="19">
        <v>7</v>
      </c>
      <c r="D395" s="19">
        <v>2025</v>
      </c>
      <c r="E395" s="19" t="s">
        <v>2267</v>
      </c>
      <c r="F395" s="19">
        <v>1</v>
      </c>
    </row>
    <row r="396" spans="1:6" x14ac:dyDescent="0.2">
      <c r="A396" s="19" t="s">
        <v>34</v>
      </c>
      <c r="B396" s="19" t="s">
        <v>1374</v>
      </c>
      <c r="C396" s="19">
        <v>7</v>
      </c>
      <c r="D396" s="19">
        <v>2025</v>
      </c>
      <c r="E396" s="19" t="s">
        <v>2268</v>
      </c>
    </row>
    <row r="397" spans="1:6" x14ac:dyDescent="0.2">
      <c r="A397" s="19" t="s">
        <v>26</v>
      </c>
      <c r="B397" s="19" t="s">
        <v>1375</v>
      </c>
      <c r="C397" s="19">
        <v>7</v>
      </c>
      <c r="D397" s="19">
        <v>2025</v>
      </c>
      <c r="E397" s="19" t="s">
        <v>2269</v>
      </c>
    </row>
    <row r="398" spans="1:6" x14ac:dyDescent="0.2">
      <c r="A398" s="19" t="s">
        <v>27</v>
      </c>
      <c r="B398" s="19" t="s">
        <v>1376</v>
      </c>
      <c r="C398" s="19">
        <v>7</v>
      </c>
      <c r="D398" s="19">
        <v>2025</v>
      </c>
      <c r="E398" s="19" t="s">
        <v>2270</v>
      </c>
      <c r="F398" s="19">
        <v>6</v>
      </c>
    </row>
    <row r="399" spans="1:6" x14ac:dyDescent="0.2">
      <c r="A399" s="19" t="s">
        <v>31</v>
      </c>
      <c r="B399" s="19" t="s">
        <v>1358</v>
      </c>
      <c r="C399" s="19">
        <v>7</v>
      </c>
      <c r="D399" s="19">
        <v>2025</v>
      </c>
      <c r="E399" s="19" t="s">
        <v>2271</v>
      </c>
      <c r="F399" s="19">
        <v>1</v>
      </c>
    </row>
    <row r="400" spans="1:6" x14ac:dyDescent="0.2">
      <c r="A400" s="19" t="s">
        <v>33</v>
      </c>
      <c r="B400" s="19" t="s">
        <v>1377</v>
      </c>
      <c r="C400" s="19">
        <v>7</v>
      </c>
      <c r="D400" s="19">
        <v>2025</v>
      </c>
      <c r="E400" s="19" t="s">
        <v>2272</v>
      </c>
      <c r="F400" s="19">
        <v>2</v>
      </c>
    </row>
    <row r="401" spans="1:6" x14ac:dyDescent="0.2">
      <c r="A401" s="19" t="s">
        <v>6</v>
      </c>
      <c r="B401" s="19" t="s">
        <v>1357</v>
      </c>
      <c r="C401" s="19">
        <v>8</v>
      </c>
      <c r="D401" s="19">
        <v>2025</v>
      </c>
      <c r="E401" s="19" t="s">
        <v>2273</v>
      </c>
      <c r="F401" s="19">
        <v>1</v>
      </c>
    </row>
    <row r="402" spans="1:6" x14ac:dyDescent="0.2">
      <c r="A402" s="19" t="s">
        <v>23</v>
      </c>
      <c r="B402" s="19" t="s">
        <v>1359</v>
      </c>
      <c r="C402" s="19">
        <v>8</v>
      </c>
      <c r="D402" s="19">
        <v>2025</v>
      </c>
      <c r="E402" s="19" t="s">
        <v>2274</v>
      </c>
      <c r="F402" s="19">
        <v>2</v>
      </c>
    </row>
    <row r="403" spans="1:6" x14ac:dyDescent="0.2">
      <c r="A403" s="19" t="s">
        <v>21</v>
      </c>
      <c r="B403" s="19" t="s">
        <v>1360</v>
      </c>
      <c r="C403" s="19">
        <v>8</v>
      </c>
      <c r="D403" s="19">
        <v>2025</v>
      </c>
      <c r="E403" s="19" t="s">
        <v>2275</v>
      </c>
      <c r="F403" s="19">
        <v>2</v>
      </c>
    </row>
    <row r="404" spans="1:6" x14ac:dyDescent="0.2">
      <c r="A404" s="19" t="s">
        <v>1</v>
      </c>
      <c r="B404" s="19" t="s">
        <v>1361</v>
      </c>
      <c r="C404" s="19">
        <v>8</v>
      </c>
      <c r="D404" s="19">
        <v>2025</v>
      </c>
      <c r="E404" s="19" t="s">
        <v>2276</v>
      </c>
      <c r="F404" s="19">
        <v>2</v>
      </c>
    </row>
    <row r="405" spans="1:6" x14ac:dyDescent="0.2">
      <c r="A405" s="19" t="s">
        <v>24</v>
      </c>
      <c r="B405" s="19" t="s">
        <v>1362</v>
      </c>
      <c r="C405" s="19">
        <v>8</v>
      </c>
      <c r="D405" s="19">
        <v>2025</v>
      </c>
      <c r="E405" s="19" t="s">
        <v>2277</v>
      </c>
      <c r="F405" s="19">
        <v>2</v>
      </c>
    </row>
    <row r="406" spans="1:6" x14ac:dyDescent="0.2">
      <c r="A406" s="19" t="s">
        <v>29</v>
      </c>
      <c r="B406" s="19" t="s">
        <v>1363</v>
      </c>
      <c r="C406" s="19">
        <v>8</v>
      </c>
      <c r="D406" s="19">
        <v>2025</v>
      </c>
      <c r="E406" s="19" t="s">
        <v>2278</v>
      </c>
      <c r="F406" s="19">
        <v>1</v>
      </c>
    </row>
    <row r="407" spans="1:6" x14ac:dyDescent="0.2">
      <c r="A407" s="19" t="s">
        <v>14</v>
      </c>
      <c r="B407" s="19" t="s">
        <v>1364</v>
      </c>
      <c r="C407" s="19">
        <v>8</v>
      </c>
      <c r="D407" s="19">
        <v>2025</v>
      </c>
      <c r="E407" s="19" t="s">
        <v>2279</v>
      </c>
      <c r="F407" s="19">
        <v>1</v>
      </c>
    </row>
    <row r="408" spans="1:6" x14ac:dyDescent="0.2">
      <c r="A408" s="19" t="s">
        <v>28</v>
      </c>
      <c r="B408" s="19" t="s">
        <v>1365</v>
      </c>
      <c r="C408" s="19">
        <v>8</v>
      </c>
      <c r="D408" s="19">
        <v>2025</v>
      </c>
      <c r="E408" s="19" t="s">
        <v>2280</v>
      </c>
      <c r="F408" s="19">
        <v>2</v>
      </c>
    </row>
    <row r="409" spans="1:6" x14ac:dyDescent="0.2">
      <c r="A409" s="19" t="s">
        <v>18</v>
      </c>
      <c r="B409" s="19" t="s">
        <v>1366</v>
      </c>
      <c r="C409" s="19">
        <v>8</v>
      </c>
      <c r="D409" s="19">
        <v>2025</v>
      </c>
      <c r="E409" s="19" t="s">
        <v>2281</v>
      </c>
      <c r="F409" s="19">
        <v>1</v>
      </c>
    </row>
    <row r="410" spans="1:6" x14ac:dyDescent="0.2">
      <c r="A410" s="19" t="s">
        <v>11</v>
      </c>
      <c r="B410" s="19" t="s">
        <v>1367</v>
      </c>
      <c r="C410" s="19">
        <v>8</v>
      </c>
      <c r="D410" s="19">
        <v>2025</v>
      </c>
      <c r="E410" s="19" t="s">
        <v>2282</v>
      </c>
      <c r="F410" s="19">
        <v>2</v>
      </c>
    </row>
    <row r="411" spans="1:6" x14ac:dyDescent="0.2">
      <c r="A411" s="19" t="s">
        <v>30</v>
      </c>
      <c r="B411" s="19" t="s">
        <v>1368</v>
      </c>
      <c r="C411" s="19">
        <v>8</v>
      </c>
      <c r="D411" s="19">
        <v>2025</v>
      </c>
      <c r="E411" s="19" t="s">
        <v>2283</v>
      </c>
      <c r="F411" s="19">
        <v>2</v>
      </c>
    </row>
    <row r="412" spans="1:6" x14ac:dyDescent="0.2">
      <c r="A412" s="19" t="s">
        <v>16</v>
      </c>
      <c r="B412" s="19" t="s">
        <v>1369</v>
      </c>
      <c r="C412" s="19">
        <v>8</v>
      </c>
      <c r="D412" s="19">
        <v>2025</v>
      </c>
      <c r="E412" s="19" t="s">
        <v>2284</v>
      </c>
      <c r="F412" s="19">
        <v>2</v>
      </c>
    </row>
    <row r="413" spans="1:6" x14ac:dyDescent="0.2">
      <c r="A413" s="19" t="s">
        <v>20</v>
      </c>
      <c r="B413" s="19" t="s">
        <v>1370</v>
      </c>
      <c r="C413" s="19">
        <v>8</v>
      </c>
      <c r="D413" s="19">
        <v>2025</v>
      </c>
      <c r="E413" s="19" t="s">
        <v>2285</v>
      </c>
      <c r="F413" s="19">
        <v>1</v>
      </c>
    </row>
    <row r="414" spans="1:6" x14ac:dyDescent="0.2">
      <c r="A414" s="19" t="s">
        <v>25</v>
      </c>
      <c r="B414" s="19" t="s">
        <v>1371</v>
      </c>
      <c r="C414" s="19">
        <v>8</v>
      </c>
      <c r="D414" s="19">
        <v>2025</v>
      </c>
      <c r="E414" s="19" t="s">
        <v>2286</v>
      </c>
      <c r="F414" s="19">
        <v>1</v>
      </c>
    </row>
    <row r="415" spans="1:6" x14ac:dyDescent="0.2">
      <c r="A415" s="19" t="s">
        <v>22</v>
      </c>
      <c r="B415" s="19" t="s">
        <v>1372</v>
      </c>
      <c r="C415" s="19">
        <v>8</v>
      </c>
      <c r="D415" s="19">
        <v>2025</v>
      </c>
      <c r="E415" s="19" t="s">
        <v>2287</v>
      </c>
      <c r="F415" s="19">
        <v>1</v>
      </c>
    </row>
    <row r="416" spans="1:6" x14ac:dyDescent="0.2">
      <c r="A416" s="19" t="s">
        <v>32</v>
      </c>
      <c r="B416" s="19" t="s">
        <v>1373</v>
      </c>
      <c r="C416" s="19">
        <v>8</v>
      </c>
      <c r="D416" s="19">
        <v>2025</v>
      </c>
      <c r="E416" s="19" t="s">
        <v>2288</v>
      </c>
      <c r="F416" s="19">
        <v>1</v>
      </c>
    </row>
    <row r="417" spans="1:6" x14ac:dyDescent="0.2">
      <c r="A417" s="19" t="s">
        <v>34</v>
      </c>
      <c r="B417" s="19" t="s">
        <v>1374</v>
      </c>
      <c r="C417" s="19">
        <v>8</v>
      </c>
      <c r="D417" s="19">
        <v>2025</v>
      </c>
      <c r="E417" s="19" t="s">
        <v>2289</v>
      </c>
      <c r="F417" s="19">
        <v>1</v>
      </c>
    </row>
    <row r="418" spans="1:6" x14ac:dyDescent="0.2">
      <c r="A418" s="19" t="s">
        <v>26</v>
      </c>
      <c r="B418" s="19" t="s">
        <v>1375</v>
      </c>
      <c r="C418" s="19">
        <v>8</v>
      </c>
      <c r="D418" s="19">
        <v>2025</v>
      </c>
      <c r="E418" s="19" t="s">
        <v>2290</v>
      </c>
      <c r="F418" s="19">
        <v>6</v>
      </c>
    </row>
    <row r="419" spans="1:6" x14ac:dyDescent="0.2">
      <c r="A419" s="19" t="s">
        <v>27</v>
      </c>
      <c r="B419" s="19" t="s">
        <v>1376</v>
      </c>
      <c r="C419" s="19">
        <v>8</v>
      </c>
      <c r="D419" s="19">
        <v>2025</v>
      </c>
      <c r="E419" s="19" t="s">
        <v>2291</v>
      </c>
      <c r="F419" s="19">
        <v>2</v>
      </c>
    </row>
    <row r="420" spans="1:6" x14ac:dyDescent="0.2">
      <c r="A420" s="19" t="s">
        <v>31</v>
      </c>
      <c r="B420" s="19" t="s">
        <v>1358</v>
      </c>
      <c r="C420" s="19">
        <v>8</v>
      </c>
      <c r="D420" s="19">
        <v>2025</v>
      </c>
      <c r="E420" s="19" t="s">
        <v>2292</v>
      </c>
      <c r="F420" s="19">
        <v>2</v>
      </c>
    </row>
    <row r="421" spans="1:6" x14ac:dyDescent="0.2">
      <c r="A421" s="19" t="s">
        <v>33</v>
      </c>
      <c r="B421" s="19" t="s">
        <v>1377</v>
      </c>
      <c r="C421" s="19">
        <v>8</v>
      </c>
      <c r="D421" s="19">
        <v>2025</v>
      </c>
      <c r="E421" s="19" t="s">
        <v>2293</v>
      </c>
      <c r="F421" s="19">
        <v>1</v>
      </c>
    </row>
    <row r="422" spans="1:6" x14ac:dyDescent="0.2">
      <c r="A422" s="19" t="s">
        <v>6</v>
      </c>
      <c r="B422" s="19" t="s">
        <v>1357</v>
      </c>
      <c r="C422" s="19">
        <v>9</v>
      </c>
      <c r="D422" s="19">
        <v>2025</v>
      </c>
      <c r="E422" s="19" t="s">
        <v>2294</v>
      </c>
      <c r="F422" s="19">
        <v>2</v>
      </c>
    </row>
    <row r="423" spans="1:6" x14ac:dyDescent="0.2">
      <c r="A423" s="19" t="s">
        <v>23</v>
      </c>
      <c r="B423" s="19" t="s">
        <v>1359</v>
      </c>
      <c r="C423" s="19">
        <v>9</v>
      </c>
      <c r="D423" s="19">
        <v>2025</v>
      </c>
      <c r="E423" s="19" t="s">
        <v>2295</v>
      </c>
      <c r="F423" s="19">
        <v>3</v>
      </c>
    </row>
    <row r="424" spans="1:6" x14ac:dyDescent="0.2">
      <c r="A424" s="19" t="s">
        <v>21</v>
      </c>
      <c r="B424" s="19" t="s">
        <v>1360</v>
      </c>
      <c r="C424" s="19">
        <v>9</v>
      </c>
      <c r="D424" s="19">
        <v>2025</v>
      </c>
      <c r="E424" s="19" t="s">
        <v>2296</v>
      </c>
      <c r="F424" s="19">
        <v>3</v>
      </c>
    </row>
    <row r="425" spans="1:6" x14ac:dyDescent="0.2">
      <c r="A425" s="19" t="s">
        <v>1</v>
      </c>
      <c r="B425" s="19" t="s">
        <v>1361</v>
      </c>
      <c r="C425" s="19">
        <v>9</v>
      </c>
      <c r="D425" s="19">
        <v>2025</v>
      </c>
      <c r="E425" s="19" t="s">
        <v>2297</v>
      </c>
      <c r="F425" s="19">
        <v>2</v>
      </c>
    </row>
    <row r="426" spans="1:6" x14ac:dyDescent="0.2">
      <c r="A426" s="19" t="s">
        <v>24</v>
      </c>
      <c r="B426" s="19" t="s">
        <v>1362</v>
      </c>
      <c r="C426" s="19">
        <v>9</v>
      </c>
      <c r="D426" s="19">
        <v>2025</v>
      </c>
      <c r="E426" s="19" t="s">
        <v>2298</v>
      </c>
      <c r="F426" s="19">
        <v>1</v>
      </c>
    </row>
    <row r="427" spans="1:6" x14ac:dyDescent="0.2">
      <c r="A427" s="19" t="s">
        <v>29</v>
      </c>
      <c r="B427" s="19" t="s">
        <v>1363</v>
      </c>
      <c r="C427" s="19">
        <v>9</v>
      </c>
      <c r="D427" s="19">
        <v>2025</v>
      </c>
      <c r="E427" s="19" t="s">
        <v>2299</v>
      </c>
      <c r="F427" s="19">
        <v>1</v>
      </c>
    </row>
    <row r="428" spans="1:6" x14ac:dyDescent="0.2">
      <c r="A428" s="19" t="s">
        <v>14</v>
      </c>
      <c r="B428" s="19" t="s">
        <v>1364</v>
      </c>
      <c r="C428" s="19">
        <v>9</v>
      </c>
      <c r="D428" s="19">
        <v>2025</v>
      </c>
      <c r="E428" s="19" t="s">
        <v>2300</v>
      </c>
      <c r="F428" s="19">
        <v>1</v>
      </c>
    </row>
    <row r="429" spans="1:6" x14ac:dyDescent="0.2">
      <c r="A429" s="19" t="s">
        <v>28</v>
      </c>
      <c r="B429" s="19" t="s">
        <v>1365</v>
      </c>
      <c r="C429" s="19">
        <v>9</v>
      </c>
      <c r="D429" s="19">
        <v>2025</v>
      </c>
      <c r="E429" s="19" t="s">
        <v>2301</v>
      </c>
      <c r="F429" s="19">
        <v>1</v>
      </c>
    </row>
    <row r="430" spans="1:6" x14ac:dyDescent="0.2">
      <c r="A430" s="19" t="s">
        <v>18</v>
      </c>
      <c r="B430" s="19" t="s">
        <v>1366</v>
      </c>
      <c r="C430" s="19">
        <v>9</v>
      </c>
      <c r="D430" s="19">
        <v>2025</v>
      </c>
      <c r="E430" s="19" t="s">
        <v>2302</v>
      </c>
      <c r="F430" s="19">
        <v>2</v>
      </c>
    </row>
    <row r="431" spans="1:6" x14ac:dyDescent="0.2">
      <c r="A431" s="19" t="s">
        <v>11</v>
      </c>
      <c r="B431" s="19" t="s">
        <v>1367</v>
      </c>
      <c r="C431" s="19">
        <v>9</v>
      </c>
      <c r="D431" s="19">
        <v>2025</v>
      </c>
      <c r="E431" s="19" t="s">
        <v>2303</v>
      </c>
      <c r="F431" s="19">
        <v>1</v>
      </c>
    </row>
    <row r="432" spans="1:6" x14ac:dyDescent="0.2">
      <c r="A432" s="19" t="s">
        <v>30</v>
      </c>
      <c r="B432" s="19" t="s">
        <v>1368</v>
      </c>
      <c r="C432" s="19">
        <v>9</v>
      </c>
      <c r="D432" s="19">
        <v>2025</v>
      </c>
      <c r="E432" s="19" t="s">
        <v>2304</v>
      </c>
      <c r="F432" s="19">
        <v>1</v>
      </c>
    </row>
    <row r="433" spans="1:6" x14ac:dyDescent="0.2">
      <c r="A433" s="19" t="s">
        <v>16</v>
      </c>
      <c r="B433" s="19" t="s">
        <v>1369</v>
      </c>
      <c r="C433" s="19">
        <v>9</v>
      </c>
      <c r="D433" s="19">
        <v>2025</v>
      </c>
      <c r="E433" s="19" t="s">
        <v>2305</v>
      </c>
      <c r="F433" s="19">
        <v>1</v>
      </c>
    </row>
    <row r="434" spans="1:6" x14ac:dyDescent="0.2">
      <c r="A434" s="19" t="s">
        <v>20</v>
      </c>
      <c r="B434" s="19" t="s">
        <v>1370</v>
      </c>
      <c r="C434" s="19">
        <v>9</v>
      </c>
      <c r="D434" s="19">
        <v>2025</v>
      </c>
      <c r="E434" s="19" t="s">
        <v>2306</v>
      </c>
      <c r="F434" s="19">
        <v>1</v>
      </c>
    </row>
    <row r="435" spans="1:6" x14ac:dyDescent="0.2">
      <c r="A435" s="19" t="s">
        <v>25</v>
      </c>
      <c r="B435" s="19" t="s">
        <v>1371</v>
      </c>
      <c r="C435" s="19">
        <v>9</v>
      </c>
      <c r="D435" s="19">
        <v>2025</v>
      </c>
      <c r="E435" s="19" t="s">
        <v>2307</v>
      </c>
      <c r="F435" s="19">
        <v>1</v>
      </c>
    </row>
    <row r="436" spans="1:6" x14ac:dyDescent="0.2">
      <c r="A436" s="19" t="s">
        <v>22</v>
      </c>
      <c r="B436" s="19" t="s">
        <v>1372</v>
      </c>
      <c r="C436" s="19">
        <v>9</v>
      </c>
      <c r="D436" s="19">
        <v>2025</v>
      </c>
      <c r="E436" s="19" t="s">
        <v>2308</v>
      </c>
    </row>
    <row r="437" spans="1:6" x14ac:dyDescent="0.2">
      <c r="A437" s="19" t="s">
        <v>32</v>
      </c>
      <c r="B437" s="19" t="s">
        <v>1373</v>
      </c>
      <c r="C437" s="19">
        <v>9</v>
      </c>
      <c r="D437" s="19">
        <v>2025</v>
      </c>
      <c r="E437" s="19" t="s">
        <v>2309</v>
      </c>
    </row>
    <row r="438" spans="1:6" x14ac:dyDescent="0.2">
      <c r="A438" s="19" t="s">
        <v>34</v>
      </c>
      <c r="B438" s="19" t="s">
        <v>1374</v>
      </c>
      <c r="C438" s="19">
        <v>9</v>
      </c>
      <c r="D438" s="19">
        <v>2025</v>
      </c>
      <c r="E438" s="19" t="s">
        <v>2310</v>
      </c>
      <c r="F438" s="19">
        <v>5</v>
      </c>
    </row>
    <row r="439" spans="1:6" x14ac:dyDescent="0.2">
      <c r="A439" s="19" t="s">
        <v>26</v>
      </c>
      <c r="B439" s="19" t="s">
        <v>1375</v>
      </c>
      <c r="C439" s="19">
        <v>9</v>
      </c>
      <c r="D439" s="19">
        <v>2025</v>
      </c>
      <c r="E439" s="19" t="s">
        <v>2311</v>
      </c>
      <c r="F439" s="19">
        <v>1</v>
      </c>
    </row>
    <row r="440" spans="1:6" x14ac:dyDescent="0.2">
      <c r="A440" s="19" t="s">
        <v>27</v>
      </c>
      <c r="B440" s="19" t="s">
        <v>1376</v>
      </c>
      <c r="C440" s="19">
        <v>9</v>
      </c>
      <c r="D440" s="19">
        <v>2025</v>
      </c>
      <c r="E440" s="19" t="s">
        <v>2312</v>
      </c>
      <c r="F440" s="19">
        <v>2</v>
      </c>
    </row>
    <row r="441" spans="1:6" x14ac:dyDescent="0.2">
      <c r="A441" s="19" t="s">
        <v>31</v>
      </c>
      <c r="B441" s="19" t="s">
        <v>1358</v>
      </c>
      <c r="C441" s="19">
        <v>9</v>
      </c>
      <c r="D441" s="19">
        <v>2025</v>
      </c>
      <c r="E441" s="19" t="s">
        <v>2313</v>
      </c>
      <c r="F441" s="19">
        <v>1</v>
      </c>
    </row>
    <row r="442" spans="1:6" x14ac:dyDescent="0.2">
      <c r="A442" s="19" t="s">
        <v>33</v>
      </c>
      <c r="B442" s="19" t="s">
        <v>1377</v>
      </c>
      <c r="C442" s="19">
        <v>9</v>
      </c>
      <c r="D442" s="19">
        <v>2025</v>
      </c>
      <c r="E442" s="19" t="s">
        <v>2314</v>
      </c>
      <c r="F442" s="19">
        <v>3</v>
      </c>
    </row>
    <row r="443" spans="1:6" x14ac:dyDescent="0.2">
      <c r="A443" s="19" t="s">
        <v>6</v>
      </c>
      <c r="B443" s="19" t="s">
        <v>1357</v>
      </c>
      <c r="C443" s="19">
        <v>10</v>
      </c>
      <c r="D443" s="19">
        <v>2025</v>
      </c>
      <c r="E443" s="19" t="s">
        <v>2315</v>
      </c>
      <c r="F443" s="19">
        <v>2</v>
      </c>
    </row>
    <row r="444" spans="1:6" x14ac:dyDescent="0.2">
      <c r="A444" s="19" t="s">
        <v>23</v>
      </c>
      <c r="B444" s="19" t="s">
        <v>1359</v>
      </c>
      <c r="C444" s="19">
        <v>10</v>
      </c>
      <c r="D444" s="19">
        <v>2025</v>
      </c>
      <c r="E444" s="19" t="s">
        <v>2316</v>
      </c>
      <c r="F444" s="19">
        <v>2</v>
      </c>
    </row>
    <row r="445" spans="1:6" x14ac:dyDescent="0.2">
      <c r="A445" s="19" t="s">
        <v>21</v>
      </c>
      <c r="B445" s="19" t="s">
        <v>1360</v>
      </c>
      <c r="C445" s="19">
        <v>10</v>
      </c>
      <c r="D445" s="19">
        <v>2025</v>
      </c>
      <c r="E445" s="19" t="s">
        <v>2317</v>
      </c>
      <c r="F445" s="19">
        <v>2</v>
      </c>
    </row>
    <row r="446" spans="1:6" x14ac:dyDescent="0.2">
      <c r="A446" s="19" t="s">
        <v>1</v>
      </c>
      <c r="B446" s="19" t="s">
        <v>1361</v>
      </c>
      <c r="C446" s="19">
        <v>10</v>
      </c>
      <c r="D446" s="19">
        <v>2025</v>
      </c>
      <c r="E446" s="19" t="s">
        <v>2318</v>
      </c>
      <c r="F446" s="19">
        <v>1</v>
      </c>
    </row>
    <row r="447" spans="1:6" x14ac:dyDescent="0.2">
      <c r="A447" s="19" t="s">
        <v>24</v>
      </c>
      <c r="B447" s="19" t="s">
        <v>1362</v>
      </c>
      <c r="C447" s="19">
        <v>10</v>
      </c>
      <c r="D447" s="19">
        <v>2025</v>
      </c>
      <c r="E447" s="19" t="s">
        <v>2319</v>
      </c>
      <c r="F447" s="19">
        <v>1</v>
      </c>
    </row>
    <row r="448" spans="1:6" x14ac:dyDescent="0.2">
      <c r="A448" s="19" t="s">
        <v>29</v>
      </c>
      <c r="B448" s="19" t="s">
        <v>1363</v>
      </c>
      <c r="C448" s="19">
        <v>10</v>
      </c>
      <c r="D448" s="19">
        <v>2025</v>
      </c>
      <c r="E448" s="19" t="s">
        <v>2320</v>
      </c>
      <c r="F448" s="19">
        <v>3</v>
      </c>
    </row>
    <row r="449" spans="1:6" x14ac:dyDescent="0.2">
      <c r="A449" s="19" t="s">
        <v>14</v>
      </c>
      <c r="B449" s="19" t="s">
        <v>1364</v>
      </c>
      <c r="C449" s="19">
        <v>10</v>
      </c>
      <c r="D449" s="19">
        <v>2025</v>
      </c>
      <c r="E449" s="19" t="s">
        <v>2321</v>
      </c>
      <c r="F449" s="19">
        <v>1</v>
      </c>
    </row>
    <row r="450" spans="1:6" x14ac:dyDescent="0.2">
      <c r="A450" s="19" t="s">
        <v>28</v>
      </c>
      <c r="B450" s="19" t="s">
        <v>1365</v>
      </c>
      <c r="C450" s="19">
        <v>10</v>
      </c>
      <c r="D450" s="19">
        <v>2025</v>
      </c>
      <c r="E450" s="19" t="s">
        <v>2322</v>
      </c>
      <c r="F450" s="19">
        <v>2</v>
      </c>
    </row>
    <row r="451" spans="1:6" x14ac:dyDescent="0.2">
      <c r="A451" s="19" t="s">
        <v>18</v>
      </c>
      <c r="B451" s="19" t="s">
        <v>1366</v>
      </c>
      <c r="C451" s="19">
        <v>10</v>
      </c>
      <c r="D451" s="19">
        <v>2025</v>
      </c>
      <c r="E451" s="19" t="s">
        <v>2323</v>
      </c>
      <c r="F451" s="19">
        <v>2</v>
      </c>
    </row>
    <row r="452" spans="1:6" x14ac:dyDescent="0.2">
      <c r="A452" s="19" t="s">
        <v>11</v>
      </c>
      <c r="B452" s="19" t="s">
        <v>1367</v>
      </c>
      <c r="C452" s="19">
        <v>10</v>
      </c>
      <c r="D452" s="19">
        <v>2025</v>
      </c>
      <c r="E452" s="19" t="s">
        <v>2324</v>
      </c>
      <c r="F452" s="19">
        <v>1</v>
      </c>
    </row>
    <row r="453" spans="1:6" x14ac:dyDescent="0.2">
      <c r="A453" s="19" t="s">
        <v>30</v>
      </c>
      <c r="B453" s="19" t="s">
        <v>1368</v>
      </c>
      <c r="C453" s="19">
        <v>10</v>
      </c>
      <c r="D453" s="19">
        <v>2025</v>
      </c>
      <c r="E453" s="19" t="s">
        <v>2325</v>
      </c>
      <c r="F453" s="19">
        <v>1</v>
      </c>
    </row>
    <row r="454" spans="1:6" x14ac:dyDescent="0.2">
      <c r="A454" s="19" t="s">
        <v>16</v>
      </c>
      <c r="B454" s="19" t="s">
        <v>1369</v>
      </c>
      <c r="C454" s="19">
        <v>10</v>
      </c>
      <c r="D454" s="19">
        <v>2025</v>
      </c>
      <c r="E454" s="19" t="s">
        <v>2326</v>
      </c>
      <c r="F454" s="19">
        <v>1</v>
      </c>
    </row>
    <row r="455" spans="1:6" x14ac:dyDescent="0.2">
      <c r="A455" s="19" t="s">
        <v>20</v>
      </c>
      <c r="B455" s="19" t="s">
        <v>1370</v>
      </c>
      <c r="C455" s="19">
        <v>10</v>
      </c>
      <c r="D455" s="19">
        <v>2025</v>
      </c>
      <c r="E455" s="19" t="s">
        <v>2327</v>
      </c>
      <c r="F455" s="19">
        <v>1</v>
      </c>
    </row>
    <row r="456" spans="1:6" x14ac:dyDescent="0.2">
      <c r="A456" s="19" t="s">
        <v>25</v>
      </c>
      <c r="B456" s="19" t="s">
        <v>1371</v>
      </c>
      <c r="C456" s="19">
        <v>10</v>
      </c>
      <c r="D456" s="19">
        <v>2025</v>
      </c>
      <c r="E456" s="19" t="s">
        <v>2328</v>
      </c>
    </row>
    <row r="457" spans="1:6" x14ac:dyDescent="0.2">
      <c r="A457" s="19" t="s">
        <v>22</v>
      </c>
      <c r="B457" s="19" t="s">
        <v>1372</v>
      </c>
      <c r="C457" s="19">
        <v>10</v>
      </c>
      <c r="D457" s="19">
        <v>2025</v>
      </c>
      <c r="E457" s="19" t="s">
        <v>2329</v>
      </c>
    </row>
    <row r="458" spans="1:6" x14ac:dyDescent="0.2">
      <c r="A458" s="19" t="s">
        <v>32</v>
      </c>
      <c r="B458" s="19" t="s">
        <v>1373</v>
      </c>
      <c r="C458" s="19">
        <v>10</v>
      </c>
      <c r="D458" s="19">
        <v>2025</v>
      </c>
      <c r="E458" s="19" t="s">
        <v>2330</v>
      </c>
      <c r="F458" s="19">
        <v>4</v>
      </c>
    </row>
    <row r="459" spans="1:6" x14ac:dyDescent="0.2">
      <c r="A459" s="19" t="s">
        <v>34</v>
      </c>
      <c r="B459" s="19" t="s">
        <v>1374</v>
      </c>
      <c r="C459" s="19">
        <v>10</v>
      </c>
      <c r="D459" s="19">
        <v>2025</v>
      </c>
      <c r="E459" s="19" t="s">
        <v>2331</v>
      </c>
      <c r="F459" s="19">
        <v>1</v>
      </c>
    </row>
    <row r="460" spans="1:6" x14ac:dyDescent="0.2">
      <c r="A460" s="19" t="s">
        <v>26</v>
      </c>
      <c r="B460" s="19" t="s">
        <v>1375</v>
      </c>
      <c r="C460" s="19">
        <v>10</v>
      </c>
      <c r="D460" s="19">
        <v>2025</v>
      </c>
      <c r="E460" s="19" t="s">
        <v>2332</v>
      </c>
      <c r="F460" s="19">
        <v>1</v>
      </c>
    </row>
    <row r="461" spans="1:6" x14ac:dyDescent="0.2">
      <c r="A461" s="19" t="s">
        <v>27</v>
      </c>
      <c r="B461" s="19" t="s">
        <v>1376</v>
      </c>
      <c r="C461" s="19">
        <v>10</v>
      </c>
      <c r="D461" s="19">
        <v>2025</v>
      </c>
      <c r="E461" s="19" t="s">
        <v>2333</v>
      </c>
      <c r="F461" s="19">
        <v>1</v>
      </c>
    </row>
    <row r="462" spans="1:6" x14ac:dyDescent="0.2">
      <c r="A462" s="19" t="s">
        <v>31</v>
      </c>
      <c r="B462" s="19" t="s">
        <v>1358</v>
      </c>
      <c r="C462" s="19">
        <v>10</v>
      </c>
      <c r="D462" s="19">
        <v>2025</v>
      </c>
      <c r="E462" s="19" t="s">
        <v>2334</v>
      </c>
      <c r="F462" s="19">
        <v>2</v>
      </c>
    </row>
    <row r="463" spans="1:6" x14ac:dyDescent="0.2">
      <c r="A463" s="19" t="s">
        <v>33</v>
      </c>
      <c r="B463" s="19" t="s">
        <v>1377</v>
      </c>
      <c r="C463" s="19">
        <v>10</v>
      </c>
      <c r="D463" s="19">
        <v>2025</v>
      </c>
      <c r="E463" s="19" t="s">
        <v>2335</v>
      </c>
      <c r="F463" s="19">
        <v>2</v>
      </c>
    </row>
    <row r="464" spans="1:6" x14ac:dyDescent="0.2">
      <c r="A464" s="19" t="s">
        <v>6</v>
      </c>
      <c r="B464" s="19" t="s">
        <v>1357</v>
      </c>
      <c r="C464" s="19">
        <v>11</v>
      </c>
      <c r="D464" s="19">
        <v>2025</v>
      </c>
      <c r="E464" s="19" t="s">
        <v>2336</v>
      </c>
      <c r="F464" s="19">
        <v>2</v>
      </c>
    </row>
    <row r="465" spans="1:6" x14ac:dyDescent="0.2">
      <c r="A465" s="19" t="s">
        <v>23</v>
      </c>
      <c r="B465" s="19" t="s">
        <v>1359</v>
      </c>
      <c r="C465" s="19">
        <v>11</v>
      </c>
      <c r="D465" s="19">
        <v>2025</v>
      </c>
      <c r="E465" s="19" t="s">
        <v>2337</v>
      </c>
      <c r="F465" s="19">
        <v>2</v>
      </c>
    </row>
    <row r="466" spans="1:6" x14ac:dyDescent="0.2">
      <c r="A466" s="19" t="s">
        <v>21</v>
      </c>
      <c r="B466" s="19" t="s">
        <v>1360</v>
      </c>
      <c r="C466" s="19">
        <v>11</v>
      </c>
      <c r="D466" s="19">
        <v>2025</v>
      </c>
      <c r="E466" s="19" t="s">
        <v>2338</v>
      </c>
      <c r="F466" s="19">
        <v>1</v>
      </c>
    </row>
    <row r="467" spans="1:6" x14ac:dyDescent="0.2">
      <c r="A467" s="19" t="s">
        <v>1</v>
      </c>
      <c r="B467" s="19" t="s">
        <v>1361</v>
      </c>
      <c r="C467" s="19">
        <v>11</v>
      </c>
      <c r="D467" s="19">
        <v>2025</v>
      </c>
      <c r="E467" s="19" t="s">
        <v>2339</v>
      </c>
      <c r="F467" s="19">
        <v>1</v>
      </c>
    </row>
    <row r="468" spans="1:6" x14ac:dyDescent="0.2">
      <c r="A468" s="19" t="s">
        <v>24</v>
      </c>
      <c r="B468" s="19" t="s">
        <v>1362</v>
      </c>
      <c r="C468" s="19">
        <v>11</v>
      </c>
      <c r="D468" s="19">
        <v>2025</v>
      </c>
      <c r="E468" s="19" t="s">
        <v>2340</v>
      </c>
      <c r="F468" s="19">
        <v>2</v>
      </c>
    </row>
    <row r="469" spans="1:6" x14ac:dyDescent="0.2">
      <c r="A469" s="19" t="s">
        <v>29</v>
      </c>
      <c r="B469" s="19" t="s">
        <v>1363</v>
      </c>
      <c r="C469" s="19">
        <v>11</v>
      </c>
      <c r="D469" s="19">
        <v>2025</v>
      </c>
      <c r="E469" s="19" t="s">
        <v>2341</v>
      </c>
      <c r="F469" s="19">
        <v>1</v>
      </c>
    </row>
    <row r="470" spans="1:6" x14ac:dyDescent="0.2">
      <c r="A470" s="19" t="s">
        <v>14</v>
      </c>
      <c r="B470" s="19" t="s">
        <v>1364</v>
      </c>
      <c r="C470" s="19">
        <v>11</v>
      </c>
      <c r="D470" s="19">
        <v>2025</v>
      </c>
      <c r="E470" s="19" t="s">
        <v>2342</v>
      </c>
      <c r="F470" s="19">
        <v>2</v>
      </c>
    </row>
    <row r="471" spans="1:6" x14ac:dyDescent="0.2">
      <c r="A471" s="19" t="s">
        <v>28</v>
      </c>
      <c r="B471" s="19" t="s">
        <v>1365</v>
      </c>
      <c r="C471" s="19">
        <v>11</v>
      </c>
      <c r="D471" s="19">
        <v>2025</v>
      </c>
      <c r="E471" s="19" t="s">
        <v>2343</v>
      </c>
      <c r="F471" s="19">
        <v>2</v>
      </c>
    </row>
    <row r="472" spans="1:6" x14ac:dyDescent="0.2">
      <c r="A472" s="19" t="s">
        <v>18</v>
      </c>
      <c r="B472" s="19" t="s">
        <v>1366</v>
      </c>
      <c r="C472" s="19">
        <v>11</v>
      </c>
      <c r="D472" s="19">
        <v>2025</v>
      </c>
      <c r="E472" s="19" t="s">
        <v>2344</v>
      </c>
      <c r="F472" s="19">
        <v>1</v>
      </c>
    </row>
    <row r="473" spans="1:6" x14ac:dyDescent="0.2">
      <c r="A473" s="19" t="s">
        <v>11</v>
      </c>
      <c r="B473" s="19" t="s">
        <v>1367</v>
      </c>
      <c r="C473" s="19">
        <v>11</v>
      </c>
      <c r="D473" s="19">
        <v>2025</v>
      </c>
      <c r="E473" s="19" t="s">
        <v>2345</v>
      </c>
      <c r="F473" s="19">
        <v>1</v>
      </c>
    </row>
    <row r="474" spans="1:6" x14ac:dyDescent="0.2">
      <c r="A474" s="19" t="s">
        <v>30</v>
      </c>
      <c r="B474" s="19" t="s">
        <v>1368</v>
      </c>
      <c r="C474" s="19">
        <v>11</v>
      </c>
      <c r="D474" s="19">
        <v>2025</v>
      </c>
      <c r="E474" s="19" t="s">
        <v>2346</v>
      </c>
      <c r="F474" s="19">
        <v>1</v>
      </c>
    </row>
    <row r="475" spans="1:6" x14ac:dyDescent="0.2">
      <c r="A475" s="19" t="s">
        <v>16</v>
      </c>
      <c r="B475" s="19" t="s">
        <v>1369</v>
      </c>
      <c r="C475" s="19">
        <v>11</v>
      </c>
      <c r="D475" s="19">
        <v>2025</v>
      </c>
      <c r="E475" s="19" t="s">
        <v>2347</v>
      </c>
    </row>
    <row r="476" spans="1:6" x14ac:dyDescent="0.2">
      <c r="A476" s="19" t="s">
        <v>20</v>
      </c>
      <c r="B476" s="19" t="s">
        <v>1370</v>
      </c>
      <c r="C476" s="19">
        <v>11</v>
      </c>
      <c r="D476" s="19">
        <v>2025</v>
      </c>
      <c r="E476" s="19" t="s">
        <v>2348</v>
      </c>
    </row>
    <row r="477" spans="1:6" x14ac:dyDescent="0.2">
      <c r="A477" s="19" t="s">
        <v>25</v>
      </c>
      <c r="B477" s="19" t="s">
        <v>1371</v>
      </c>
      <c r="C477" s="19">
        <v>11</v>
      </c>
      <c r="D477" s="19">
        <v>2025</v>
      </c>
      <c r="E477" s="19" t="s">
        <v>2349</v>
      </c>
    </row>
    <row r="478" spans="1:6" x14ac:dyDescent="0.2">
      <c r="A478" s="19" t="s">
        <v>22</v>
      </c>
      <c r="B478" s="19" t="s">
        <v>1372</v>
      </c>
      <c r="C478" s="19">
        <v>11</v>
      </c>
      <c r="D478" s="19">
        <v>2025</v>
      </c>
      <c r="E478" s="19" t="s">
        <v>2350</v>
      </c>
      <c r="F478" s="19">
        <v>4</v>
      </c>
    </row>
    <row r="479" spans="1:6" x14ac:dyDescent="0.2">
      <c r="A479" s="19" t="s">
        <v>32</v>
      </c>
      <c r="B479" s="19" t="s">
        <v>1373</v>
      </c>
      <c r="C479" s="19">
        <v>11</v>
      </c>
      <c r="D479" s="19">
        <v>2025</v>
      </c>
      <c r="E479" s="19" t="s">
        <v>2351</v>
      </c>
      <c r="F479" s="19">
        <v>1</v>
      </c>
    </row>
    <row r="480" spans="1:6" x14ac:dyDescent="0.2">
      <c r="A480" s="19" t="s">
        <v>34</v>
      </c>
      <c r="B480" s="19" t="s">
        <v>1374</v>
      </c>
      <c r="C480" s="19">
        <v>11</v>
      </c>
      <c r="D480" s="19">
        <v>2025</v>
      </c>
      <c r="E480" s="19" t="s">
        <v>2352</v>
      </c>
      <c r="F480" s="19">
        <v>1</v>
      </c>
    </row>
    <row r="481" spans="1:6" x14ac:dyDescent="0.2">
      <c r="A481" s="19" t="s">
        <v>26</v>
      </c>
      <c r="B481" s="19" t="s">
        <v>1375</v>
      </c>
      <c r="C481" s="19">
        <v>11</v>
      </c>
      <c r="D481" s="19">
        <v>2025</v>
      </c>
      <c r="E481" s="19" t="s">
        <v>2353</v>
      </c>
      <c r="F481" s="19">
        <v>2</v>
      </c>
    </row>
    <row r="482" spans="1:6" x14ac:dyDescent="0.2">
      <c r="A482" s="19" t="s">
        <v>27</v>
      </c>
      <c r="B482" s="19" t="s">
        <v>1376</v>
      </c>
      <c r="C482" s="19">
        <v>11</v>
      </c>
      <c r="D482" s="19">
        <v>2025</v>
      </c>
      <c r="E482" s="19" t="s">
        <v>2354</v>
      </c>
    </row>
    <row r="483" spans="1:6" x14ac:dyDescent="0.2">
      <c r="A483" s="19" t="s">
        <v>31</v>
      </c>
      <c r="B483" s="19" t="s">
        <v>1358</v>
      </c>
      <c r="C483" s="19">
        <v>11</v>
      </c>
      <c r="D483" s="19">
        <v>2025</v>
      </c>
      <c r="E483" s="19" t="s">
        <v>2355</v>
      </c>
    </row>
    <row r="484" spans="1:6" x14ac:dyDescent="0.2">
      <c r="A484" s="19" t="s">
        <v>33</v>
      </c>
      <c r="B484" s="19" t="s">
        <v>1377</v>
      </c>
      <c r="C484" s="19">
        <v>11</v>
      </c>
      <c r="D484" s="19">
        <v>2025</v>
      </c>
      <c r="E484" s="19" t="s">
        <v>2356</v>
      </c>
      <c r="F484" s="19">
        <v>2</v>
      </c>
    </row>
    <row r="485" spans="1:6" x14ac:dyDescent="0.2">
      <c r="A485" s="19" t="s">
        <v>6</v>
      </c>
      <c r="B485" s="19" t="s">
        <v>1357</v>
      </c>
      <c r="C485" s="19">
        <v>12</v>
      </c>
      <c r="D485" s="19">
        <v>2025</v>
      </c>
      <c r="E485" s="19" t="s">
        <v>2357</v>
      </c>
    </row>
    <row r="486" spans="1:6" x14ac:dyDescent="0.2">
      <c r="A486" s="19" t="s">
        <v>23</v>
      </c>
      <c r="B486" s="19" t="s">
        <v>1359</v>
      </c>
      <c r="C486" s="19">
        <v>12</v>
      </c>
      <c r="D486" s="19">
        <v>2025</v>
      </c>
      <c r="E486" s="19" t="s">
        <v>2358</v>
      </c>
    </row>
    <row r="487" spans="1:6" x14ac:dyDescent="0.2">
      <c r="A487" s="19" t="s">
        <v>21</v>
      </c>
      <c r="B487" s="19" t="s">
        <v>1360</v>
      </c>
      <c r="C487" s="19">
        <v>12</v>
      </c>
      <c r="D487" s="19">
        <v>2025</v>
      </c>
      <c r="E487" s="19" t="s">
        <v>2359</v>
      </c>
    </row>
    <row r="488" spans="1:6" x14ac:dyDescent="0.2">
      <c r="A488" s="19" t="s">
        <v>1</v>
      </c>
      <c r="B488" s="19" t="s">
        <v>1361</v>
      </c>
      <c r="C488" s="19">
        <v>12</v>
      </c>
      <c r="D488" s="19">
        <v>2025</v>
      </c>
      <c r="E488" s="19" t="s">
        <v>2360</v>
      </c>
    </row>
    <row r="489" spans="1:6" x14ac:dyDescent="0.2">
      <c r="A489" s="19" t="s">
        <v>24</v>
      </c>
      <c r="B489" s="19" t="s">
        <v>1362</v>
      </c>
      <c r="C489" s="19">
        <v>12</v>
      </c>
      <c r="D489" s="19">
        <v>2025</v>
      </c>
      <c r="E489" s="19" t="s">
        <v>2361</v>
      </c>
    </row>
    <row r="490" spans="1:6" x14ac:dyDescent="0.2">
      <c r="A490" s="19" t="s">
        <v>29</v>
      </c>
      <c r="B490" s="19" t="s">
        <v>1363</v>
      </c>
      <c r="C490" s="19">
        <v>12</v>
      </c>
      <c r="D490" s="19">
        <v>2025</v>
      </c>
      <c r="E490" s="19" t="s">
        <v>2362</v>
      </c>
      <c r="F490" s="19">
        <v>1</v>
      </c>
    </row>
    <row r="491" spans="1:6" x14ac:dyDescent="0.2">
      <c r="A491" s="19" t="s">
        <v>14</v>
      </c>
      <c r="B491" s="19" t="s">
        <v>1364</v>
      </c>
      <c r="C491" s="19">
        <v>12</v>
      </c>
      <c r="D491" s="19">
        <v>2025</v>
      </c>
      <c r="E491" s="19" t="s">
        <v>2363</v>
      </c>
    </row>
    <row r="492" spans="1:6" x14ac:dyDescent="0.2">
      <c r="A492" s="19" t="s">
        <v>28</v>
      </c>
      <c r="B492" s="19" t="s">
        <v>1365</v>
      </c>
      <c r="C492" s="19">
        <v>12</v>
      </c>
      <c r="D492" s="19">
        <v>2025</v>
      </c>
      <c r="E492" s="19" t="s">
        <v>2364</v>
      </c>
    </row>
    <row r="493" spans="1:6" x14ac:dyDescent="0.2">
      <c r="A493" s="19" t="s">
        <v>18</v>
      </c>
      <c r="B493" s="19" t="s">
        <v>1366</v>
      </c>
      <c r="C493" s="19">
        <v>12</v>
      </c>
      <c r="D493" s="19">
        <v>2025</v>
      </c>
      <c r="E493" s="19" t="s">
        <v>2365</v>
      </c>
    </row>
    <row r="494" spans="1:6" x14ac:dyDescent="0.2">
      <c r="A494" s="19" t="s">
        <v>11</v>
      </c>
      <c r="B494" s="19" t="s">
        <v>1367</v>
      </c>
      <c r="C494" s="19">
        <v>12</v>
      </c>
      <c r="D494" s="19">
        <v>2025</v>
      </c>
      <c r="E494" s="19" t="s">
        <v>2366</v>
      </c>
    </row>
    <row r="495" spans="1:6" x14ac:dyDescent="0.2">
      <c r="A495" s="19" t="s">
        <v>30</v>
      </c>
      <c r="B495" s="19" t="s">
        <v>1368</v>
      </c>
      <c r="C495" s="19">
        <v>12</v>
      </c>
      <c r="D495" s="19">
        <v>2025</v>
      </c>
      <c r="E495" s="19" t="s">
        <v>2367</v>
      </c>
    </row>
    <row r="496" spans="1:6" x14ac:dyDescent="0.2">
      <c r="A496" s="19" t="s">
        <v>16</v>
      </c>
      <c r="B496" s="19" t="s">
        <v>1369</v>
      </c>
      <c r="C496" s="19">
        <v>12</v>
      </c>
      <c r="D496" s="19">
        <v>2025</v>
      </c>
      <c r="E496" s="19" t="s">
        <v>2368</v>
      </c>
    </row>
    <row r="497" spans="1:6" x14ac:dyDescent="0.2">
      <c r="A497" s="19" t="s">
        <v>20</v>
      </c>
      <c r="B497" s="19" t="s">
        <v>1370</v>
      </c>
      <c r="C497" s="19">
        <v>12</v>
      </c>
      <c r="D497" s="19">
        <v>2025</v>
      </c>
      <c r="E497" s="19" t="s">
        <v>2369</v>
      </c>
    </row>
    <row r="498" spans="1:6" x14ac:dyDescent="0.2">
      <c r="A498" s="19" t="s">
        <v>25</v>
      </c>
      <c r="B498" s="19" t="s">
        <v>1371</v>
      </c>
      <c r="C498" s="19">
        <v>12</v>
      </c>
      <c r="D498" s="19">
        <v>2025</v>
      </c>
      <c r="E498" s="19" t="s">
        <v>2370</v>
      </c>
      <c r="F498" s="19">
        <v>1</v>
      </c>
    </row>
    <row r="499" spans="1:6" x14ac:dyDescent="0.2">
      <c r="A499" s="19" t="s">
        <v>22</v>
      </c>
      <c r="B499" s="19" t="s">
        <v>1372</v>
      </c>
      <c r="C499" s="19">
        <v>12</v>
      </c>
      <c r="D499" s="19">
        <v>2025</v>
      </c>
      <c r="E499" s="19" t="s">
        <v>2371</v>
      </c>
    </row>
    <row r="500" spans="1:6" x14ac:dyDescent="0.2">
      <c r="A500" s="19" t="s">
        <v>32</v>
      </c>
      <c r="B500" s="19" t="s">
        <v>1373</v>
      </c>
      <c r="C500" s="19">
        <v>12</v>
      </c>
      <c r="D500" s="19">
        <v>2025</v>
      </c>
      <c r="E500" s="19" t="s">
        <v>2372</v>
      </c>
    </row>
    <row r="501" spans="1:6" x14ac:dyDescent="0.2">
      <c r="A501" s="19" t="s">
        <v>34</v>
      </c>
      <c r="B501" s="19" t="s">
        <v>1374</v>
      </c>
      <c r="C501" s="19">
        <v>12</v>
      </c>
      <c r="D501" s="19">
        <v>2025</v>
      </c>
      <c r="E501" s="19" t="s">
        <v>2373</v>
      </c>
    </row>
    <row r="502" spans="1:6" x14ac:dyDescent="0.2">
      <c r="A502" s="19" t="s">
        <v>26</v>
      </c>
      <c r="B502" s="19" t="s">
        <v>1375</v>
      </c>
      <c r="C502" s="19">
        <v>12</v>
      </c>
      <c r="D502" s="19">
        <v>2025</v>
      </c>
      <c r="E502" s="19" t="s">
        <v>2374</v>
      </c>
      <c r="F502" s="19">
        <v>2</v>
      </c>
    </row>
    <row r="503" spans="1:6" x14ac:dyDescent="0.2">
      <c r="A503" s="19" t="s">
        <v>27</v>
      </c>
      <c r="B503" s="19" t="s">
        <v>1376</v>
      </c>
      <c r="C503" s="19">
        <v>12</v>
      </c>
      <c r="D503" s="19">
        <v>2025</v>
      </c>
      <c r="E503" s="19" t="s">
        <v>2375</v>
      </c>
      <c r="F503" s="19">
        <v>3</v>
      </c>
    </row>
    <row r="504" spans="1:6" x14ac:dyDescent="0.2">
      <c r="A504" s="19" t="s">
        <v>31</v>
      </c>
      <c r="B504" s="19" t="s">
        <v>1358</v>
      </c>
      <c r="C504" s="19">
        <v>12</v>
      </c>
      <c r="D504" s="19">
        <v>2025</v>
      </c>
      <c r="E504" s="19" t="s">
        <v>2376</v>
      </c>
    </row>
    <row r="505" spans="1:6" x14ac:dyDescent="0.2">
      <c r="A505" s="19" t="s">
        <v>33</v>
      </c>
      <c r="B505" s="19" t="s">
        <v>1377</v>
      </c>
      <c r="C505" s="19">
        <v>12</v>
      </c>
      <c r="D505" s="19">
        <v>2025</v>
      </c>
      <c r="E505" s="19" t="s">
        <v>2377</v>
      </c>
      <c r="F505" s="19">
        <v>3</v>
      </c>
    </row>
    <row r="506" spans="1:6" x14ac:dyDescent="0.2">
      <c r="A506" s="19" t="s">
        <v>6</v>
      </c>
      <c r="B506" s="19" t="s">
        <v>1357</v>
      </c>
      <c r="C506" s="19">
        <v>1</v>
      </c>
      <c r="D506" s="19">
        <v>2026</v>
      </c>
      <c r="E506" s="19" t="s">
        <v>2378</v>
      </c>
    </row>
    <row r="507" spans="1:6" x14ac:dyDescent="0.2">
      <c r="A507" s="19" t="s">
        <v>23</v>
      </c>
      <c r="B507" s="19" t="s">
        <v>1359</v>
      </c>
      <c r="C507" s="19">
        <v>1</v>
      </c>
      <c r="D507" s="19">
        <v>2026</v>
      </c>
      <c r="E507" s="19" t="s">
        <v>2379</v>
      </c>
    </row>
    <row r="508" spans="1:6" x14ac:dyDescent="0.2">
      <c r="A508" s="19" t="s">
        <v>21</v>
      </c>
      <c r="B508" s="19" t="s">
        <v>1360</v>
      </c>
      <c r="C508" s="19">
        <v>1</v>
      </c>
      <c r="D508" s="19">
        <v>2026</v>
      </c>
      <c r="E508" s="19" t="s">
        <v>2380</v>
      </c>
      <c r="F508" s="19">
        <v>2</v>
      </c>
    </row>
    <row r="509" spans="1:6" x14ac:dyDescent="0.2">
      <c r="A509" s="19" t="s">
        <v>1</v>
      </c>
      <c r="B509" s="19" t="s">
        <v>1361</v>
      </c>
      <c r="C509" s="19">
        <v>1</v>
      </c>
      <c r="D509" s="19">
        <v>2026</v>
      </c>
      <c r="E509" s="19" t="s">
        <v>2381</v>
      </c>
    </row>
    <row r="510" spans="1:6" x14ac:dyDescent="0.2">
      <c r="A510" s="19" t="s">
        <v>24</v>
      </c>
      <c r="B510" s="19" t="s">
        <v>1362</v>
      </c>
      <c r="C510" s="19">
        <v>1</v>
      </c>
      <c r="D510" s="19">
        <v>2026</v>
      </c>
      <c r="E510" s="19" t="s">
        <v>2382</v>
      </c>
    </row>
    <row r="511" spans="1:6" x14ac:dyDescent="0.2">
      <c r="A511" s="19" t="s">
        <v>29</v>
      </c>
      <c r="B511" s="19" t="s">
        <v>1363</v>
      </c>
      <c r="C511" s="19">
        <v>1</v>
      </c>
      <c r="D511" s="19">
        <v>2026</v>
      </c>
      <c r="E511" s="19" t="s">
        <v>2383</v>
      </c>
      <c r="F511" s="19">
        <v>1</v>
      </c>
    </row>
    <row r="512" spans="1:6" x14ac:dyDescent="0.2">
      <c r="A512" s="19" t="s">
        <v>14</v>
      </c>
      <c r="B512" s="19" t="s">
        <v>1364</v>
      </c>
      <c r="C512" s="19">
        <v>1</v>
      </c>
      <c r="D512" s="19">
        <v>2026</v>
      </c>
      <c r="E512" s="19" t="s">
        <v>2384</v>
      </c>
      <c r="F512" s="19">
        <v>1</v>
      </c>
    </row>
    <row r="513" spans="1:6" x14ac:dyDescent="0.2">
      <c r="A513" s="19" t="s">
        <v>28</v>
      </c>
      <c r="B513" s="19" t="s">
        <v>1365</v>
      </c>
      <c r="C513" s="19">
        <v>1</v>
      </c>
      <c r="D513" s="19">
        <v>2026</v>
      </c>
      <c r="E513" s="19" t="s">
        <v>2385</v>
      </c>
    </row>
    <row r="514" spans="1:6" x14ac:dyDescent="0.2">
      <c r="A514" s="19" t="s">
        <v>18</v>
      </c>
      <c r="B514" s="19" t="s">
        <v>1366</v>
      </c>
      <c r="C514" s="19">
        <v>1</v>
      </c>
      <c r="D514" s="19">
        <v>2026</v>
      </c>
      <c r="E514" s="19" t="s">
        <v>2386</v>
      </c>
    </row>
    <row r="515" spans="1:6" x14ac:dyDescent="0.2">
      <c r="A515" s="19" t="s">
        <v>11</v>
      </c>
      <c r="B515" s="19" t="s">
        <v>1367</v>
      </c>
      <c r="C515" s="19">
        <v>1</v>
      </c>
      <c r="D515" s="19">
        <v>2026</v>
      </c>
      <c r="E515" s="19" t="s">
        <v>2387</v>
      </c>
    </row>
    <row r="516" spans="1:6" x14ac:dyDescent="0.2">
      <c r="A516" s="19" t="s">
        <v>30</v>
      </c>
      <c r="B516" s="19" t="s">
        <v>1368</v>
      </c>
      <c r="C516" s="19">
        <v>1</v>
      </c>
      <c r="D516" s="19">
        <v>2026</v>
      </c>
      <c r="E516" s="19" t="s">
        <v>2388</v>
      </c>
    </row>
    <row r="517" spans="1:6" x14ac:dyDescent="0.2">
      <c r="A517" s="19" t="s">
        <v>16</v>
      </c>
      <c r="B517" s="19" t="s">
        <v>1369</v>
      </c>
      <c r="C517" s="19">
        <v>1</v>
      </c>
      <c r="D517" s="19">
        <v>2026</v>
      </c>
      <c r="E517" s="19" t="s">
        <v>2389</v>
      </c>
    </row>
    <row r="518" spans="1:6" x14ac:dyDescent="0.2">
      <c r="A518" s="19" t="s">
        <v>20</v>
      </c>
      <c r="B518" s="19" t="s">
        <v>1370</v>
      </c>
      <c r="C518" s="19">
        <v>1</v>
      </c>
      <c r="D518" s="19">
        <v>2026</v>
      </c>
      <c r="E518" s="19" t="s">
        <v>2390</v>
      </c>
    </row>
    <row r="519" spans="1:6" x14ac:dyDescent="0.2">
      <c r="A519" s="19" t="s">
        <v>25</v>
      </c>
      <c r="B519" s="19" t="s">
        <v>1371</v>
      </c>
      <c r="C519" s="19">
        <v>1</v>
      </c>
      <c r="D519" s="19">
        <v>2026</v>
      </c>
      <c r="E519" s="19" t="s">
        <v>2391</v>
      </c>
    </row>
    <row r="520" spans="1:6" x14ac:dyDescent="0.2">
      <c r="A520" s="19" t="s">
        <v>22</v>
      </c>
      <c r="B520" s="19" t="s">
        <v>1372</v>
      </c>
      <c r="C520" s="19">
        <v>1</v>
      </c>
      <c r="D520" s="19">
        <v>2026</v>
      </c>
      <c r="E520" s="19" t="s">
        <v>2392</v>
      </c>
    </row>
    <row r="521" spans="1:6" x14ac:dyDescent="0.2">
      <c r="A521" s="19" t="s">
        <v>32</v>
      </c>
      <c r="B521" s="19" t="s">
        <v>1373</v>
      </c>
      <c r="C521" s="19">
        <v>1</v>
      </c>
      <c r="D521" s="19">
        <v>2026</v>
      </c>
      <c r="E521" s="19" t="s">
        <v>2393</v>
      </c>
    </row>
    <row r="522" spans="1:6" x14ac:dyDescent="0.2">
      <c r="A522" s="19" t="s">
        <v>34</v>
      </c>
      <c r="B522" s="19" t="s">
        <v>1374</v>
      </c>
      <c r="C522" s="19">
        <v>1</v>
      </c>
      <c r="D522" s="19">
        <v>2026</v>
      </c>
      <c r="E522" s="19" t="s">
        <v>2394</v>
      </c>
      <c r="F522" s="19">
        <v>2</v>
      </c>
    </row>
    <row r="523" spans="1:6" x14ac:dyDescent="0.2">
      <c r="A523" s="19" t="s">
        <v>26</v>
      </c>
      <c r="B523" s="19" t="s">
        <v>1375</v>
      </c>
      <c r="C523" s="19">
        <v>1</v>
      </c>
      <c r="D523" s="19">
        <v>2026</v>
      </c>
      <c r="E523" s="19" t="s">
        <v>2395</v>
      </c>
      <c r="F523" s="19">
        <v>1</v>
      </c>
    </row>
    <row r="524" spans="1:6" x14ac:dyDescent="0.2">
      <c r="A524" s="19" t="s">
        <v>27</v>
      </c>
      <c r="B524" s="19" t="s">
        <v>1376</v>
      </c>
      <c r="C524" s="19">
        <v>1</v>
      </c>
      <c r="D524" s="19">
        <v>2026</v>
      </c>
      <c r="E524" s="19" t="s">
        <v>2396</v>
      </c>
      <c r="F524" s="19">
        <v>1</v>
      </c>
    </row>
    <row r="525" spans="1:6" x14ac:dyDescent="0.2">
      <c r="A525" s="19" t="s">
        <v>31</v>
      </c>
      <c r="B525" s="19" t="s">
        <v>1358</v>
      </c>
      <c r="C525" s="19">
        <v>1</v>
      </c>
      <c r="D525" s="19">
        <v>2026</v>
      </c>
      <c r="E525" s="19" t="s">
        <v>2397</v>
      </c>
      <c r="F525" s="19">
        <v>2</v>
      </c>
    </row>
    <row r="526" spans="1:6" x14ac:dyDescent="0.2">
      <c r="A526" s="19" t="s">
        <v>33</v>
      </c>
      <c r="B526" s="19" t="s">
        <v>1377</v>
      </c>
      <c r="C526" s="19">
        <v>1</v>
      </c>
      <c r="D526" s="19">
        <v>2026</v>
      </c>
      <c r="E526" s="19" t="s">
        <v>2398</v>
      </c>
    </row>
    <row r="527" spans="1:6" x14ac:dyDescent="0.2">
      <c r="A527" s="19" t="s">
        <v>6</v>
      </c>
      <c r="B527" s="19" t="s">
        <v>1357</v>
      </c>
      <c r="C527" s="19">
        <v>2</v>
      </c>
      <c r="D527" s="19">
        <v>2026</v>
      </c>
      <c r="E527" s="19" t="s">
        <v>2399</v>
      </c>
    </row>
    <row r="528" spans="1:6" x14ac:dyDescent="0.2">
      <c r="A528" s="19" t="s">
        <v>23</v>
      </c>
      <c r="B528" s="19" t="s">
        <v>1359</v>
      </c>
      <c r="C528" s="19">
        <v>2</v>
      </c>
      <c r="D528" s="19">
        <v>2026</v>
      </c>
      <c r="E528" s="19" t="s">
        <v>2400</v>
      </c>
      <c r="F528" s="19">
        <v>2</v>
      </c>
    </row>
    <row r="529" spans="1:6" x14ac:dyDescent="0.2">
      <c r="A529" s="19" t="s">
        <v>21</v>
      </c>
      <c r="B529" s="19" t="s">
        <v>1360</v>
      </c>
      <c r="C529" s="19">
        <v>2</v>
      </c>
      <c r="D529" s="19">
        <v>2026</v>
      </c>
      <c r="E529" s="19" t="s">
        <v>2401</v>
      </c>
    </row>
    <row r="530" spans="1:6" x14ac:dyDescent="0.2">
      <c r="A530" s="19" t="s">
        <v>1</v>
      </c>
      <c r="B530" s="19" t="s">
        <v>1361</v>
      </c>
      <c r="C530" s="19">
        <v>2</v>
      </c>
      <c r="D530" s="19">
        <v>2026</v>
      </c>
      <c r="E530" s="19" t="s">
        <v>2402</v>
      </c>
      <c r="F530" s="19">
        <v>1</v>
      </c>
    </row>
    <row r="531" spans="1:6" x14ac:dyDescent="0.2">
      <c r="A531" s="19" t="s">
        <v>24</v>
      </c>
      <c r="B531" s="19" t="s">
        <v>1362</v>
      </c>
      <c r="C531" s="19">
        <v>2</v>
      </c>
      <c r="D531" s="19">
        <v>2026</v>
      </c>
      <c r="E531" s="19" t="s">
        <v>2403</v>
      </c>
      <c r="F531" s="19">
        <v>3</v>
      </c>
    </row>
    <row r="532" spans="1:6" x14ac:dyDescent="0.2">
      <c r="A532" s="19" t="s">
        <v>29</v>
      </c>
      <c r="B532" s="19" t="s">
        <v>1363</v>
      </c>
      <c r="C532" s="19">
        <v>2</v>
      </c>
      <c r="D532" s="19">
        <v>2026</v>
      </c>
      <c r="E532" s="19" t="s">
        <v>2404</v>
      </c>
      <c r="F532" s="19">
        <v>3</v>
      </c>
    </row>
    <row r="533" spans="1:6" x14ac:dyDescent="0.2">
      <c r="A533" s="19" t="s">
        <v>14</v>
      </c>
      <c r="B533" s="19" t="s">
        <v>1364</v>
      </c>
      <c r="C533" s="19">
        <v>2</v>
      </c>
      <c r="D533" s="19">
        <v>2026</v>
      </c>
      <c r="E533" s="19" t="s">
        <v>2405</v>
      </c>
      <c r="F533" s="19">
        <v>1</v>
      </c>
    </row>
    <row r="534" spans="1:6" x14ac:dyDescent="0.2">
      <c r="A534" s="19" t="s">
        <v>28</v>
      </c>
      <c r="B534" s="19" t="s">
        <v>1365</v>
      </c>
      <c r="C534" s="19">
        <v>2</v>
      </c>
      <c r="D534" s="19">
        <v>2026</v>
      </c>
      <c r="E534" s="19" t="s">
        <v>2406</v>
      </c>
    </row>
    <row r="535" spans="1:6" x14ac:dyDescent="0.2">
      <c r="A535" s="19" t="s">
        <v>18</v>
      </c>
      <c r="B535" s="19" t="s">
        <v>1366</v>
      </c>
      <c r="C535" s="19">
        <v>2</v>
      </c>
      <c r="D535" s="19">
        <v>2026</v>
      </c>
      <c r="E535" s="19" t="s">
        <v>2407</v>
      </c>
    </row>
    <row r="536" spans="1:6" x14ac:dyDescent="0.2">
      <c r="A536" s="19" t="s">
        <v>11</v>
      </c>
      <c r="B536" s="19" t="s">
        <v>1367</v>
      </c>
      <c r="C536" s="19">
        <v>2</v>
      </c>
      <c r="D536" s="19">
        <v>2026</v>
      </c>
      <c r="E536" s="19" t="s">
        <v>2408</v>
      </c>
    </row>
    <row r="537" spans="1:6" x14ac:dyDescent="0.2">
      <c r="A537" s="19" t="s">
        <v>30</v>
      </c>
      <c r="B537" s="19" t="s">
        <v>1368</v>
      </c>
      <c r="C537" s="19">
        <v>2</v>
      </c>
      <c r="D537" s="19">
        <v>2026</v>
      </c>
      <c r="E537" s="19" t="s">
        <v>2409</v>
      </c>
    </row>
    <row r="538" spans="1:6" x14ac:dyDescent="0.2">
      <c r="A538" s="19" t="s">
        <v>16</v>
      </c>
      <c r="B538" s="19" t="s">
        <v>1369</v>
      </c>
      <c r="C538" s="19">
        <v>2</v>
      </c>
      <c r="D538" s="19">
        <v>2026</v>
      </c>
      <c r="E538" s="19" t="s">
        <v>2410</v>
      </c>
      <c r="F538" s="19">
        <v>7</v>
      </c>
    </row>
    <row r="539" spans="1:6" x14ac:dyDescent="0.2">
      <c r="A539" s="19" t="s">
        <v>20</v>
      </c>
      <c r="B539" s="19" t="s">
        <v>1370</v>
      </c>
      <c r="C539" s="19">
        <v>2</v>
      </c>
      <c r="D539" s="19">
        <v>2026</v>
      </c>
      <c r="E539" s="19" t="s">
        <v>2411</v>
      </c>
    </row>
    <row r="540" spans="1:6" x14ac:dyDescent="0.2">
      <c r="A540" s="19" t="s">
        <v>25</v>
      </c>
      <c r="B540" s="19" t="s">
        <v>1371</v>
      </c>
      <c r="C540" s="19">
        <v>2</v>
      </c>
      <c r="D540" s="19">
        <v>2026</v>
      </c>
      <c r="E540" s="19" t="s">
        <v>2412</v>
      </c>
    </row>
    <row r="541" spans="1:6" x14ac:dyDescent="0.2">
      <c r="A541" s="19" t="s">
        <v>22</v>
      </c>
      <c r="B541" s="19" t="s">
        <v>1372</v>
      </c>
      <c r="C541" s="19">
        <v>2</v>
      </c>
      <c r="D541" s="19">
        <v>2026</v>
      </c>
      <c r="E541" s="19" t="s">
        <v>2413</v>
      </c>
      <c r="F541" s="19">
        <v>1</v>
      </c>
    </row>
    <row r="542" spans="1:6" x14ac:dyDescent="0.2">
      <c r="A542" s="19" t="s">
        <v>32</v>
      </c>
      <c r="B542" s="19" t="s">
        <v>1373</v>
      </c>
      <c r="C542" s="19">
        <v>2</v>
      </c>
      <c r="D542" s="19">
        <v>2026</v>
      </c>
      <c r="E542" s="19" t="s">
        <v>2414</v>
      </c>
    </row>
    <row r="543" spans="1:6" x14ac:dyDescent="0.2">
      <c r="A543" s="19" t="s">
        <v>34</v>
      </c>
      <c r="B543" s="19" t="s">
        <v>1374</v>
      </c>
      <c r="C543" s="19">
        <v>2</v>
      </c>
      <c r="D543" s="19">
        <v>2026</v>
      </c>
      <c r="E543" s="19" t="s">
        <v>2415</v>
      </c>
    </row>
    <row r="544" spans="1:6" x14ac:dyDescent="0.2">
      <c r="A544" s="19" t="s">
        <v>26</v>
      </c>
      <c r="B544" s="19" t="s">
        <v>1375</v>
      </c>
      <c r="C544" s="19">
        <v>2</v>
      </c>
      <c r="D544" s="19">
        <v>2026</v>
      </c>
      <c r="E544" s="19" t="s">
        <v>2416</v>
      </c>
      <c r="F544" s="19">
        <v>2</v>
      </c>
    </row>
    <row r="545" spans="1:6" x14ac:dyDescent="0.2">
      <c r="A545" s="19" t="s">
        <v>27</v>
      </c>
      <c r="B545" s="19" t="s">
        <v>1376</v>
      </c>
      <c r="C545" s="19">
        <v>2</v>
      </c>
      <c r="D545" s="19">
        <v>2026</v>
      </c>
      <c r="E545" s="19" t="s">
        <v>2417</v>
      </c>
    </row>
    <row r="546" spans="1:6" x14ac:dyDescent="0.2">
      <c r="A546" s="19" t="s">
        <v>31</v>
      </c>
      <c r="B546" s="19" t="s">
        <v>1358</v>
      </c>
      <c r="C546" s="19">
        <v>2</v>
      </c>
      <c r="D546" s="19">
        <v>2026</v>
      </c>
      <c r="E546" s="19" t="s">
        <v>2418</v>
      </c>
    </row>
    <row r="547" spans="1:6" x14ac:dyDescent="0.2">
      <c r="A547" s="19" t="s">
        <v>33</v>
      </c>
      <c r="B547" s="19" t="s">
        <v>1377</v>
      </c>
      <c r="C547" s="19">
        <v>2</v>
      </c>
      <c r="D547" s="19">
        <v>2026</v>
      </c>
      <c r="E547" s="19" t="s">
        <v>2419</v>
      </c>
    </row>
    <row r="548" spans="1:6" x14ac:dyDescent="0.2">
      <c r="A548" s="19" t="s">
        <v>6</v>
      </c>
      <c r="B548" s="19" t="s">
        <v>1357</v>
      </c>
      <c r="C548" s="19">
        <v>3</v>
      </c>
      <c r="D548" s="19">
        <v>2026</v>
      </c>
      <c r="E548" s="19" t="s">
        <v>2420</v>
      </c>
    </row>
    <row r="549" spans="1:6" x14ac:dyDescent="0.2">
      <c r="A549" s="19" t="s">
        <v>23</v>
      </c>
      <c r="B549" s="19" t="s">
        <v>1359</v>
      </c>
      <c r="C549" s="19">
        <v>3</v>
      </c>
      <c r="D549" s="19">
        <v>2026</v>
      </c>
      <c r="E549" s="19" t="s">
        <v>2421</v>
      </c>
    </row>
    <row r="550" spans="1:6" x14ac:dyDescent="0.2">
      <c r="A550" s="19" t="s">
        <v>21</v>
      </c>
      <c r="B550" s="19" t="s">
        <v>1360</v>
      </c>
      <c r="C550" s="19">
        <v>3</v>
      </c>
      <c r="D550" s="19">
        <v>2026</v>
      </c>
      <c r="E550" s="19" t="s">
        <v>2422</v>
      </c>
      <c r="F550" s="19">
        <v>1</v>
      </c>
    </row>
    <row r="551" spans="1:6" x14ac:dyDescent="0.2">
      <c r="A551" s="19" t="s">
        <v>1</v>
      </c>
      <c r="B551" s="19" t="s">
        <v>1361</v>
      </c>
      <c r="C551" s="19">
        <v>3</v>
      </c>
      <c r="D551" s="19">
        <v>2026</v>
      </c>
      <c r="E551" s="19" t="s">
        <v>2423</v>
      </c>
      <c r="F551" s="19">
        <v>4</v>
      </c>
    </row>
    <row r="552" spans="1:6" x14ac:dyDescent="0.2">
      <c r="A552" s="19" t="s">
        <v>24</v>
      </c>
      <c r="B552" s="19" t="s">
        <v>1362</v>
      </c>
      <c r="C552" s="19">
        <v>3</v>
      </c>
      <c r="D552" s="19">
        <v>2026</v>
      </c>
      <c r="E552" s="19" t="s">
        <v>2424</v>
      </c>
      <c r="F552" s="19">
        <v>4</v>
      </c>
    </row>
    <row r="553" spans="1:6" x14ac:dyDescent="0.2">
      <c r="A553" s="19" t="s">
        <v>29</v>
      </c>
      <c r="B553" s="19" t="s">
        <v>1363</v>
      </c>
      <c r="C553" s="19">
        <v>3</v>
      </c>
      <c r="D553" s="19">
        <v>2026</v>
      </c>
      <c r="E553" s="19" t="s">
        <v>2425</v>
      </c>
    </row>
    <row r="554" spans="1:6" x14ac:dyDescent="0.2">
      <c r="A554" s="19" t="s">
        <v>14</v>
      </c>
      <c r="B554" s="19" t="s">
        <v>1364</v>
      </c>
      <c r="C554" s="19">
        <v>3</v>
      </c>
      <c r="D554" s="19">
        <v>2026</v>
      </c>
      <c r="E554" s="19" t="s">
        <v>2426</v>
      </c>
    </row>
    <row r="555" spans="1:6" x14ac:dyDescent="0.2">
      <c r="A555" s="19" t="s">
        <v>28</v>
      </c>
      <c r="B555" s="19" t="s">
        <v>1365</v>
      </c>
      <c r="C555" s="19">
        <v>3</v>
      </c>
      <c r="D555" s="19">
        <v>2026</v>
      </c>
      <c r="E555" s="19" t="s">
        <v>2427</v>
      </c>
    </row>
    <row r="556" spans="1:6" x14ac:dyDescent="0.2">
      <c r="A556" s="19" t="s">
        <v>18</v>
      </c>
      <c r="B556" s="19" t="s">
        <v>1366</v>
      </c>
      <c r="C556" s="19">
        <v>3</v>
      </c>
      <c r="D556" s="19">
        <v>2026</v>
      </c>
      <c r="E556" s="19" t="s">
        <v>2428</v>
      </c>
    </row>
    <row r="557" spans="1:6" x14ac:dyDescent="0.2">
      <c r="A557" s="19" t="s">
        <v>11</v>
      </c>
      <c r="B557" s="19" t="s">
        <v>1367</v>
      </c>
      <c r="C557" s="19">
        <v>3</v>
      </c>
      <c r="D557" s="19">
        <v>2026</v>
      </c>
      <c r="E557" s="19" t="s">
        <v>2429</v>
      </c>
    </row>
    <row r="558" spans="1:6" x14ac:dyDescent="0.2">
      <c r="A558" s="19" t="s">
        <v>30</v>
      </c>
      <c r="B558" s="19" t="s">
        <v>1368</v>
      </c>
      <c r="C558" s="19">
        <v>3</v>
      </c>
      <c r="D558" s="19">
        <v>2026</v>
      </c>
      <c r="E558" s="19" t="s">
        <v>2430</v>
      </c>
      <c r="F558" s="19">
        <v>8</v>
      </c>
    </row>
    <row r="559" spans="1:6" x14ac:dyDescent="0.2">
      <c r="A559" s="19" t="s">
        <v>16</v>
      </c>
      <c r="B559" s="19" t="s">
        <v>1369</v>
      </c>
      <c r="C559" s="19">
        <v>3</v>
      </c>
      <c r="D559" s="19">
        <v>2026</v>
      </c>
      <c r="E559" s="19" t="s">
        <v>2431</v>
      </c>
    </row>
    <row r="560" spans="1:6" x14ac:dyDescent="0.2">
      <c r="A560" s="19" t="s">
        <v>20</v>
      </c>
      <c r="B560" s="19" t="s">
        <v>1370</v>
      </c>
      <c r="C560" s="19">
        <v>3</v>
      </c>
      <c r="D560" s="19">
        <v>2026</v>
      </c>
      <c r="E560" s="19" t="s">
        <v>2432</v>
      </c>
    </row>
    <row r="561" spans="1:6" x14ac:dyDescent="0.2">
      <c r="A561" s="19" t="s">
        <v>25</v>
      </c>
      <c r="B561" s="19" t="s">
        <v>1371</v>
      </c>
      <c r="C561" s="19">
        <v>3</v>
      </c>
      <c r="D561" s="19">
        <v>2026</v>
      </c>
      <c r="E561" s="19" t="s">
        <v>2433</v>
      </c>
      <c r="F561" s="19">
        <v>1</v>
      </c>
    </row>
    <row r="562" spans="1:6" x14ac:dyDescent="0.2">
      <c r="A562" s="19" t="s">
        <v>22</v>
      </c>
      <c r="B562" s="19" t="s">
        <v>1372</v>
      </c>
      <c r="C562" s="19">
        <v>3</v>
      </c>
      <c r="D562" s="19">
        <v>2026</v>
      </c>
      <c r="E562" s="19" t="s">
        <v>2434</v>
      </c>
      <c r="F562" s="19">
        <v>2</v>
      </c>
    </row>
    <row r="563" spans="1:6" x14ac:dyDescent="0.2">
      <c r="A563" s="19" t="s">
        <v>32</v>
      </c>
      <c r="B563" s="19" t="s">
        <v>1373</v>
      </c>
      <c r="C563" s="19">
        <v>3</v>
      </c>
      <c r="D563" s="19">
        <v>2026</v>
      </c>
      <c r="E563" s="19" t="s">
        <v>2435</v>
      </c>
    </row>
    <row r="564" spans="1:6" x14ac:dyDescent="0.2">
      <c r="A564" s="19" t="s">
        <v>34</v>
      </c>
      <c r="B564" s="19" t="s">
        <v>1374</v>
      </c>
      <c r="C564" s="19">
        <v>3</v>
      </c>
      <c r="D564" s="19">
        <v>2026</v>
      </c>
      <c r="E564" s="19" t="s">
        <v>2436</v>
      </c>
    </row>
    <row r="565" spans="1:6" x14ac:dyDescent="0.2">
      <c r="A565" s="19" t="s">
        <v>26</v>
      </c>
      <c r="B565" s="19" t="s">
        <v>1375</v>
      </c>
      <c r="C565" s="19">
        <v>3</v>
      </c>
      <c r="D565" s="19">
        <v>2026</v>
      </c>
      <c r="E565" s="19" t="s">
        <v>2437</v>
      </c>
      <c r="F565" s="19">
        <v>4</v>
      </c>
    </row>
    <row r="566" spans="1:6" x14ac:dyDescent="0.2">
      <c r="A566" s="19" t="s">
        <v>27</v>
      </c>
      <c r="B566" s="19" t="s">
        <v>1376</v>
      </c>
      <c r="C566" s="19">
        <v>3</v>
      </c>
      <c r="D566" s="19">
        <v>2026</v>
      </c>
      <c r="E566" s="19" t="s">
        <v>2438</v>
      </c>
    </row>
    <row r="567" spans="1:6" x14ac:dyDescent="0.2">
      <c r="A567" s="19" t="s">
        <v>31</v>
      </c>
      <c r="B567" s="19" t="s">
        <v>1358</v>
      </c>
      <c r="C567" s="19">
        <v>3</v>
      </c>
      <c r="D567" s="19">
        <v>2026</v>
      </c>
      <c r="E567" s="19" t="s">
        <v>2439</v>
      </c>
    </row>
    <row r="568" spans="1:6" x14ac:dyDescent="0.2">
      <c r="A568" s="19" t="s">
        <v>33</v>
      </c>
      <c r="B568" s="19" t="s">
        <v>1377</v>
      </c>
      <c r="C568" s="19">
        <v>3</v>
      </c>
      <c r="D568" s="19">
        <v>2026</v>
      </c>
      <c r="E568" s="19" t="s">
        <v>2440</v>
      </c>
      <c r="F568" s="19">
        <v>2</v>
      </c>
    </row>
    <row r="569" spans="1:6" x14ac:dyDescent="0.2">
      <c r="A569" s="19" t="s">
        <v>6</v>
      </c>
      <c r="B569" s="19" t="s">
        <v>1357</v>
      </c>
      <c r="C569" s="19">
        <v>4</v>
      </c>
      <c r="D569" s="19">
        <v>2026</v>
      </c>
      <c r="E569" s="19" t="s">
        <v>2441</v>
      </c>
    </row>
    <row r="570" spans="1:6" x14ac:dyDescent="0.2">
      <c r="A570" s="19" t="s">
        <v>23</v>
      </c>
      <c r="B570" s="19" t="s">
        <v>1359</v>
      </c>
      <c r="C570" s="19">
        <v>4</v>
      </c>
      <c r="D570" s="19">
        <v>2026</v>
      </c>
      <c r="E570" s="19" t="s">
        <v>2442</v>
      </c>
      <c r="F570" s="19">
        <v>2</v>
      </c>
    </row>
    <row r="571" spans="1:6" x14ac:dyDescent="0.2">
      <c r="A571" s="19" t="s">
        <v>21</v>
      </c>
      <c r="B571" s="19" t="s">
        <v>1360</v>
      </c>
      <c r="C571" s="19">
        <v>4</v>
      </c>
      <c r="D571" s="19">
        <v>2026</v>
      </c>
      <c r="E571" s="19" t="s">
        <v>2443</v>
      </c>
      <c r="F571" s="19">
        <v>1</v>
      </c>
    </row>
    <row r="572" spans="1:6" x14ac:dyDescent="0.2">
      <c r="A572" s="19" t="s">
        <v>1</v>
      </c>
      <c r="B572" s="19" t="s">
        <v>1361</v>
      </c>
      <c r="C572" s="19">
        <v>4</v>
      </c>
      <c r="D572" s="19">
        <v>2026</v>
      </c>
      <c r="E572" s="19" t="s">
        <v>2444</v>
      </c>
      <c r="F572" s="19">
        <v>1</v>
      </c>
    </row>
    <row r="573" spans="1:6" x14ac:dyDescent="0.2">
      <c r="A573" s="19" t="s">
        <v>24</v>
      </c>
      <c r="B573" s="19" t="s">
        <v>1362</v>
      </c>
      <c r="C573" s="19">
        <v>4</v>
      </c>
      <c r="D573" s="19">
        <v>2026</v>
      </c>
      <c r="E573" s="19" t="s">
        <v>2445</v>
      </c>
    </row>
    <row r="574" spans="1:6" x14ac:dyDescent="0.2">
      <c r="A574" s="19" t="s">
        <v>29</v>
      </c>
      <c r="B574" s="19" t="s">
        <v>1363</v>
      </c>
      <c r="C574" s="19">
        <v>4</v>
      </c>
      <c r="D574" s="19">
        <v>2026</v>
      </c>
      <c r="E574" s="19" t="s">
        <v>2446</v>
      </c>
    </row>
    <row r="575" spans="1:6" x14ac:dyDescent="0.2">
      <c r="A575" s="19" t="s">
        <v>14</v>
      </c>
      <c r="B575" s="19" t="s">
        <v>1364</v>
      </c>
      <c r="C575" s="19">
        <v>4</v>
      </c>
      <c r="D575" s="19">
        <v>2026</v>
      </c>
      <c r="E575" s="19" t="s">
        <v>2447</v>
      </c>
    </row>
    <row r="576" spans="1:6" x14ac:dyDescent="0.2">
      <c r="A576" s="19" t="s">
        <v>28</v>
      </c>
      <c r="B576" s="19" t="s">
        <v>1365</v>
      </c>
      <c r="C576" s="19">
        <v>4</v>
      </c>
      <c r="D576" s="19">
        <v>2026</v>
      </c>
      <c r="E576" s="19" t="s">
        <v>2448</v>
      </c>
    </row>
    <row r="577" spans="1:6" x14ac:dyDescent="0.2">
      <c r="A577" s="19" t="s">
        <v>18</v>
      </c>
      <c r="B577" s="19" t="s">
        <v>1366</v>
      </c>
      <c r="C577" s="19">
        <v>4</v>
      </c>
      <c r="D577" s="19">
        <v>2026</v>
      </c>
      <c r="E577" s="19" t="s">
        <v>2449</v>
      </c>
    </row>
    <row r="578" spans="1:6" x14ac:dyDescent="0.2">
      <c r="A578" s="19" t="s">
        <v>11</v>
      </c>
      <c r="B578" s="19" t="s">
        <v>1367</v>
      </c>
      <c r="C578" s="19">
        <v>4</v>
      </c>
      <c r="D578" s="19">
        <v>2026</v>
      </c>
      <c r="E578" s="19" t="s">
        <v>2450</v>
      </c>
      <c r="F578" s="19">
        <v>8</v>
      </c>
    </row>
    <row r="579" spans="1:6" x14ac:dyDescent="0.2">
      <c r="A579" s="19" t="s">
        <v>30</v>
      </c>
      <c r="B579" s="19" t="s">
        <v>1368</v>
      </c>
      <c r="C579" s="19">
        <v>4</v>
      </c>
      <c r="D579" s="19">
        <v>2026</v>
      </c>
      <c r="E579" s="19" t="s">
        <v>2451</v>
      </c>
    </row>
    <row r="580" spans="1:6" x14ac:dyDescent="0.2">
      <c r="A580" s="19" t="s">
        <v>16</v>
      </c>
      <c r="B580" s="19" t="s">
        <v>1369</v>
      </c>
      <c r="C580" s="19">
        <v>4</v>
      </c>
      <c r="D580" s="19">
        <v>2026</v>
      </c>
      <c r="E580" s="19" t="s">
        <v>2452</v>
      </c>
    </row>
    <row r="581" spans="1:6" x14ac:dyDescent="0.2">
      <c r="A581" s="19" t="s">
        <v>20</v>
      </c>
      <c r="B581" s="19" t="s">
        <v>1370</v>
      </c>
      <c r="C581" s="19">
        <v>4</v>
      </c>
      <c r="D581" s="19">
        <v>2026</v>
      </c>
      <c r="E581" s="19" t="s">
        <v>2453</v>
      </c>
      <c r="F581" s="19">
        <v>1</v>
      </c>
    </row>
    <row r="582" spans="1:6" x14ac:dyDescent="0.2">
      <c r="A582" s="19" t="s">
        <v>25</v>
      </c>
      <c r="B582" s="19" t="s">
        <v>1371</v>
      </c>
      <c r="C582" s="19">
        <v>4</v>
      </c>
      <c r="D582" s="19">
        <v>2026</v>
      </c>
      <c r="E582" s="19" t="s">
        <v>2454</v>
      </c>
      <c r="F582" s="19">
        <v>3</v>
      </c>
    </row>
    <row r="583" spans="1:6" x14ac:dyDescent="0.2">
      <c r="A583" s="19" t="s">
        <v>22</v>
      </c>
      <c r="B583" s="19" t="s">
        <v>1372</v>
      </c>
      <c r="C583" s="19">
        <v>4</v>
      </c>
      <c r="D583" s="19">
        <v>2026</v>
      </c>
      <c r="E583" s="19" t="s">
        <v>2455</v>
      </c>
      <c r="F583" s="19">
        <v>2</v>
      </c>
    </row>
    <row r="584" spans="1:6" x14ac:dyDescent="0.2">
      <c r="A584" s="19" t="s">
        <v>32</v>
      </c>
      <c r="B584" s="19" t="s">
        <v>1373</v>
      </c>
      <c r="C584" s="19">
        <v>4</v>
      </c>
      <c r="D584" s="19">
        <v>2026</v>
      </c>
      <c r="E584" s="19" t="s">
        <v>2456</v>
      </c>
      <c r="F584" s="19">
        <v>4</v>
      </c>
    </row>
    <row r="585" spans="1:6" x14ac:dyDescent="0.2">
      <c r="A585" s="19" t="s">
        <v>34</v>
      </c>
      <c r="B585" s="19" t="s">
        <v>1374</v>
      </c>
      <c r="C585" s="19">
        <v>4</v>
      </c>
      <c r="D585" s="19">
        <v>2026</v>
      </c>
      <c r="E585" s="19" t="s">
        <v>2457</v>
      </c>
      <c r="F585" s="19">
        <v>3</v>
      </c>
    </row>
    <row r="586" spans="1:6" x14ac:dyDescent="0.2">
      <c r="A586" s="19" t="s">
        <v>26</v>
      </c>
      <c r="B586" s="19" t="s">
        <v>1375</v>
      </c>
      <c r="C586" s="19">
        <v>4</v>
      </c>
      <c r="D586" s="19">
        <v>2026</v>
      </c>
      <c r="E586" s="19" t="s">
        <v>2458</v>
      </c>
    </row>
    <row r="587" spans="1:6" x14ac:dyDescent="0.2">
      <c r="A587" s="19" t="s">
        <v>27</v>
      </c>
      <c r="B587" s="19" t="s">
        <v>1376</v>
      </c>
      <c r="C587" s="19">
        <v>4</v>
      </c>
      <c r="D587" s="19">
        <v>2026</v>
      </c>
      <c r="E587" s="19" t="s">
        <v>2459</v>
      </c>
    </row>
    <row r="588" spans="1:6" x14ac:dyDescent="0.2">
      <c r="A588" s="19" t="s">
        <v>31</v>
      </c>
      <c r="B588" s="19" t="s">
        <v>1358</v>
      </c>
      <c r="C588" s="19">
        <v>4</v>
      </c>
      <c r="D588" s="19">
        <v>2026</v>
      </c>
      <c r="E588" s="19" t="s">
        <v>2460</v>
      </c>
      <c r="F588" s="19">
        <v>3</v>
      </c>
    </row>
    <row r="589" spans="1:6" x14ac:dyDescent="0.2">
      <c r="A589" s="19" t="s">
        <v>33</v>
      </c>
      <c r="B589" s="19" t="s">
        <v>1377</v>
      </c>
      <c r="C589" s="19">
        <v>4</v>
      </c>
      <c r="D589" s="19">
        <v>2026</v>
      </c>
      <c r="E589" s="19" t="s">
        <v>2461</v>
      </c>
      <c r="F589" s="19">
        <v>2</v>
      </c>
    </row>
    <row r="590" spans="1:6" x14ac:dyDescent="0.2">
      <c r="A590" s="19" t="s">
        <v>6</v>
      </c>
      <c r="B590" s="19" t="s">
        <v>1357</v>
      </c>
      <c r="C590" s="19">
        <v>5</v>
      </c>
      <c r="D590" s="19">
        <v>2026</v>
      </c>
      <c r="E590" s="19" t="s">
        <v>2462</v>
      </c>
      <c r="F590" s="19">
        <v>1</v>
      </c>
    </row>
    <row r="591" spans="1:6" x14ac:dyDescent="0.2">
      <c r="A591" s="19" t="s">
        <v>23</v>
      </c>
      <c r="B591" s="19" t="s">
        <v>1359</v>
      </c>
      <c r="C591" s="19">
        <v>5</v>
      </c>
      <c r="D591" s="19">
        <v>2026</v>
      </c>
      <c r="E591" s="19" t="s">
        <v>2463</v>
      </c>
      <c r="F591" s="19">
        <v>1</v>
      </c>
    </row>
    <row r="592" spans="1:6" x14ac:dyDescent="0.2">
      <c r="A592" s="19" t="s">
        <v>21</v>
      </c>
      <c r="B592" s="19" t="s">
        <v>1360</v>
      </c>
      <c r="C592" s="19">
        <v>5</v>
      </c>
      <c r="D592" s="19">
        <v>2026</v>
      </c>
      <c r="E592" s="19" t="s">
        <v>2464</v>
      </c>
      <c r="F592" s="19">
        <v>1</v>
      </c>
    </row>
    <row r="593" spans="1:6" x14ac:dyDescent="0.2">
      <c r="A593" s="19" t="s">
        <v>1</v>
      </c>
      <c r="B593" s="19" t="s">
        <v>1361</v>
      </c>
      <c r="C593" s="19">
        <v>5</v>
      </c>
      <c r="D593" s="19">
        <v>2026</v>
      </c>
      <c r="E593" s="19" t="s">
        <v>2465</v>
      </c>
      <c r="F593" s="19">
        <v>2</v>
      </c>
    </row>
    <row r="594" spans="1:6" x14ac:dyDescent="0.2">
      <c r="A594" s="19" t="s">
        <v>24</v>
      </c>
      <c r="B594" s="19" t="s">
        <v>1362</v>
      </c>
      <c r="C594" s="19">
        <v>5</v>
      </c>
      <c r="D594" s="19">
        <v>2026</v>
      </c>
      <c r="E594" s="19" t="s">
        <v>2466</v>
      </c>
      <c r="F594" s="19">
        <v>1</v>
      </c>
    </row>
    <row r="595" spans="1:6" x14ac:dyDescent="0.2">
      <c r="A595" s="19" t="s">
        <v>29</v>
      </c>
      <c r="B595" s="19" t="s">
        <v>1363</v>
      </c>
      <c r="C595" s="19">
        <v>5</v>
      </c>
      <c r="D595" s="19">
        <v>2026</v>
      </c>
      <c r="E595" s="19" t="s">
        <v>2467</v>
      </c>
    </row>
    <row r="596" spans="1:6" x14ac:dyDescent="0.2">
      <c r="A596" s="19" t="s">
        <v>14</v>
      </c>
      <c r="B596" s="19" t="s">
        <v>1364</v>
      </c>
      <c r="C596" s="19">
        <v>5</v>
      </c>
      <c r="D596" s="19">
        <v>2026</v>
      </c>
      <c r="E596" s="19" t="s">
        <v>2468</v>
      </c>
    </row>
    <row r="597" spans="1:6" x14ac:dyDescent="0.2">
      <c r="A597" s="19" t="s">
        <v>28</v>
      </c>
      <c r="B597" s="19" t="s">
        <v>1365</v>
      </c>
      <c r="C597" s="19">
        <v>5</v>
      </c>
      <c r="D597" s="19">
        <v>2026</v>
      </c>
      <c r="E597" s="19" t="s">
        <v>2469</v>
      </c>
    </row>
    <row r="598" spans="1:6" x14ac:dyDescent="0.2">
      <c r="A598" s="19" t="s">
        <v>18</v>
      </c>
      <c r="B598" s="19" t="s">
        <v>1366</v>
      </c>
      <c r="C598" s="19">
        <v>5</v>
      </c>
      <c r="D598" s="19">
        <v>2026</v>
      </c>
      <c r="E598" s="19" t="s">
        <v>2470</v>
      </c>
      <c r="F598" s="19">
        <v>3</v>
      </c>
    </row>
    <row r="599" spans="1:6" x14ac:dyDescent="0.2">
      <c r="A599" s="19" t="s">
        <v>11</v>
      </c>
      <c r="B599" s="19" t="s">
        <v>1367</v>
      </c>
      <c r="C599" s="19">
        <v>5</v>
      </c>
      <c r="D599" s="19">
        <v>2026</v>
      </c>
      <c r="E599" s="19" t="s">
        <v>2471</v>
      </c>
    </row>
    <row r="600" spans="1:6" x14ac:dyDescent="0.2">
      <c r="A600" s="19" t="s">
        <v>30</v>
      </c>
      <c r="B600" s="19" t="s">
        <v>1368</v>
      </c>
      <c r="C600" s="19">
        <v>5</v>
      </c>
      <c r="D600" s="19">
        <v>2026</v>
      </c>
      <c r="E600" s="19" t="s">
        <v>2472</v>
      </c>
    </row>
    <row r="601" spans="1:6" x14ac:dyDescent="0.2">
      <c r="A601" s="19" t="s">
        <v>16</v>
      </c>
      <c r="B601" s="19" t="s">
        <v>1369</v>
      </c>
      <c r="C601" s="19">
        <v>5</v>
      </c>
      <c r="D601" s="19">
        <v>2026</v>
      </c>
      <c r="E601" s="19" t="s">
        <v>2473</v>
      </c>
      <c r="F601" s="19">
        <v>1</v>
      </c>
    </row>
    <row r="602" spans="1:6" x14ac:dyDescent="0.2">
      <c r="A602" s="19" t="s">
        <v>20</v>
      </c>
      <c r="B602" s="19" t="s">
        <v>1370</v>
      </c>
      <c r="C602" s="19">
        <v>5</v>
      </c>
      <c r="D602" s="19">
        <v>2026</v>
      </c>
      <c r="E602" s="19" t="s">
        <v>2474</v>
      </c>
      <c r="F602" s="19">
        <v>2</v>
      </c>
    </row>
    <row r="603" spans="1:6" x14ac:dyDescent="0.2">
      <c r="A603" s="19" t="s">
        <v>25</v>
      </c>
      <c r="B603" s="19" t="s">
        <v>1371</v>
      </c>
      <c r="C603" s="19">
        <v>5</v>
      </c>
      <c r="D603" s="19">
        <v>2026</v>
      </c>
      <c r="E603" s="19" t="s">
        <v>2475</v>
      </c>
    </row>
    <row r="604" spans="1:6" x14ac:dyDescent="0.2">
      <c r="A604" s="19" t="s">
        <v>22</v>
      </c>
      <c r="B604" s="19" t="s">
        <v>1372</v>
      </c>
      <c r="C604" s="19">
        <v>5</v>
      </c>
      <c r="D604" s="19">
        <v>2026</v>
      </c>
      <c r="E604" s="19" t="s">
        <v>2476</v>
      </c>
      <c r="F604" s="19">
        <v>1</v>
      </c>
    </row>
    <row r="605" spans="1:6" x14ac:dyDescent="0.2">
      <c r="A605" s="19" t="s">
        <v>32</v>
      </c>
      <c r="B605" s="19" t="s">
        <v>1373</v>
      </c>
      <c r="C605" s="19">
        <v>5</v>
      </c>
      <c r="D605" s="19">
        <v>2026</v>
      </c>
      <c r="E605" s="19" t="s">
        <v>2477</v>
      </c>
      <c r="F605" s="19">
        <v>1</v>
      </c>
    </row>
    <row r="606" spans="1:6" x14ac:dyDescent="0.2">
      <c r="A606" s="19" t="s">
        <v>34</v>
      </c>
      <c r="B606" s="19" t="s">
        <v>1374</v>
      </c>
      <c r="C606" s="19">
        <v>5</v>
      </c>
      <c r="D606" s="19">
        <v>2026</v>
      </c>
      <c r="E606" s="19" t="s">
        <v>2478</v>
      </c>
    </row>
    <row r="607" spans="1:6" x14ac:dyDescent="0.2">
      <c r="A607" s="19" t="s">
        <v>26</v>
      </c>
      <c r="B607" s="19" t="s">
        <v>1375</v>
      </c>
      <c r="C607" s="19">
        <v>5</v>
      </c>
      <c r="D607" s="19">
        <v>2026</v>
      </c>
      <c r="E607" s="19" t="s">
        <v>2479</v>
      </c>
    </row>
    <row r="608" spans="1:6" x14ac:dyDescent="0.2">
      <c r="A608" s="19" t="s">
        <v>27</v>
      </c>
      <c r="B608" s="19" t="s">
        <v>1376</v>
      </c>
      <c r="C608" s="19">
        <v>5</v>
      </c>
      <c r="D608" s="19">
        <v>2026</v>
      </c>
      <c r="E608" s="19" t="s">
        <v>2480</v>
      </c>
      <c r="F608" s="19">
        <v>2</v>
      </c>
    </row>
    <row r="609" spans="1:6" x14ac:dyDescent="0.2">
      <c r="A609" s="19" t="s">
        <v>31</v>
      </c>
      <c r="B609" s="19" t="s">
        <v>1358</v>
      </c>
      <c r="C609" s="19">
        <v>5</v>
      </c>
      <c r="D609" s="19">
        <v>2026</v>
      </c>
      <c r="E609" s="19" t="s">
        <v>2481</v>
      </c>
    </row>
    <row r="610" spans="1:6" x14ac:dyDescent="0.2">
      <c r="A610" s="19" t="s">
        <v>33</v>
      </c>
      <c r="B610" s="19" t="s">
        <v>1377</v>
      </c>
      <c r="C610" s="19">
        <v>5</v>
      </c>
      <c r="D610" s="19">
        <v>2026</v>
      </c>
      <c r="E610" s="19" t="s">
        <v>2482</v>
      </c>
    </row>
    <row r="611" spans="1:6" x14ac:dyDescent="0.2">
      <c r="A611" s="19" t="s">
        <v>6</v>
      </c>
      <c r="B611" s="19" t="s">
        <v>1357</v>
      </c>
      <c r="C611" s="19">
        <v>6</v>
      </c>
      <c r="D611" s="19">
        <v>2026</v>
      </c>
      <c r="E611" s="19" t="s">
        <v>2483</v>
      </c>
      <c r="F611" s="19">
        <v>3</v>
      </c>
    </row>
    <row r="612" spans="1:6" x14ac:dyDescent="0.2">
      <c r="A612" s="19" t="s">
        <v>23</v>
      </c>
      <c r="B612" s="19" t="s">
        <v>1359</v>
      </c>
      <c r="C612" s="19">
        <v>6</v>
      </c>
      <c r="D612" s="19">
        <v>2026</v>
      </c>
      <c r="E612" s="19" t="s">
        <v>2484</v>
      </c>
      <c r="F612" s="19">
        <v>3</v>
      </c>
    </row>
    <row r="613" spans="1:6" x14ac:dyDescent="0.2">
      <c r="A613" s="19" t="s">
        <v>21</v>
      </c>
      <c r="B613" s="19" t="s">
        <v>1360</v>
      </c>
      <c r="C613" s="19">
        <v>6</v>
      </c>
      <c r="D613" s="19">
        <v>2026</v>
      </c>
      <c r="E613" s="19" t="s">
        <v>2485</v>
      </c>
      <c r="F613" s="19">
        <v>6</v>
      </c>
    </row>
    <row r="614" spans="1:6" x14ac:dyDescent="0.2">
      <c r="A614" s="19" t="s">
        <v>1</v>
      </c>
      <c r="B614" s="19" t="s">
        <v>1361</v>
      </c>
      <c r="C614" s="19">
        <v>6</v>
      </c>
      <c r="D614" s="19">
        <v>2026</v>
      </c>
      <c r="E614" s="19" t="s">
        <v>2486</v>
      </c>
      <c r="F614" s="19">
        <v>1</v>
      </c>
    </row>
    <row r="615" spans="1:6" x14ac:dyDescent="0.2">
      <c r="A615" s="19" t="s">
        <v>24</v>
      </c>
      <c r="B615" s="19" t="s">
        <v>1362</v>
      </c>
      <c r="C615" s="19">
        <v>6</v>
      </c>
      <c r="D615" s="19">
        <v>2026</v>
      </c>
      <c r="E615" s="19" t="s">
        <v>2487</v>
      </c>
    </row>
    <row r="616" spans="1:6" x14ac:dyDescent="0.2">
      <c r="A616" s="19" t="s">
        <v>29</v>
      </c>
      <c r="B616" s="19" t="s">
        <v>1363</v>
      </c>
      <c r="C616" s="19">
        <v>6</v>
      </c>
      <c r="D616" s="19">
        <v>2026</v>
      </c>
      <c r="E616" s="19" t="s">
        <v>2488</v>
      </c>
    </row>
    <row r="617" spans="1:6" x14ac:dyDescent="0.2">
      <c r="A617" s="19" t="s">
        <v>14</v>
      </c>
      <c r="B617" s="19" t="s">
        <v>1364</v>
      </c>
      <c r="C617" s="19">
        <v>6</v>
      </c>
      <c r="D617" s="19">
        <v>2026</v>
      </c>
      <c r="E617" s="19" t="s">
        <v>2489</v>
      </c>
    </row>
    <row r="618" spans="1:6" x14ac:dyDescent="0.2">
      <c r="A618" s="19" t="s">
        <v>28</v>
      </c>
      <c r="B618" s="19" t="s">
        <v>1365</v>
      </c>
      <c r="C618" s="19">
        <v>6</v>
      </c>
      <c r="D618" s="19">
        <v>2026</v>
      </c>
      <c r="E618" s="19" t="s">
        <v>2490</v>
      </c>
      <c r="F618" s="19">
        <v>5</v>
      </c>
    </row>
    <row r="619" spans="1:6" x14ac:dyDescent="0.2">
      <c r="A619" s="19" t="s">
        <v>18</v>
      </c>
      <c r="B619" s="19" t="s">
        <v>1366</v>
      </c>
      <c r="C619" s="19">
        <v>6</v>
      </c>
      <c r="D619" s="19">
        <v>2026</v>
      </c>
      <c r="E619" s="19" t="s">
        <v>2491</v>
      </c>
    </row>
    <row r="620" spans="1:6" x14ac:dyDescent="0.2">
      <c r="A620" s="19" t="s">
        <v>11</v>
      </c>
      <c r="B620" s="19" t="s">
        <v>1367</v>
      </c>
      <c r="C620" s="19">
        <v>6</v>
      </c>
      <c r="D620" s="19">
        <v>2026</v>
      </c>
      <c r="E620" s="19" t="s">
        <v>2492</v>
      </c>
    </row>
    <row r="621" spans="1:6" x14ac:dyDescent="0.2">
      <c r="A621" s="19" t="s">
        <v>30</v>
      </c>
      <c r="B621" s="19" t="s">
        <v>1368</v>
      </c>
      <c r="C621" s="19">
        <v>6</v>
      </c>
      <c r="D621" s="19">
        <v>2026</v>
      </c>
      <c r="E621" s="19" t="s">
        <v>2493</v>
      </c>
      <c r="F621" s="19">
        <v>1</v>
      </c>
    </row>
    <row r="622" spans="1:6" x14ac:dyDescent="0.2">
      <c r="A622" s="19" t="s">
        <v>16</v>
      </c>
      <c r="B622" s="19" t="s">
        <v>1369</v>
      </c>
      <c r="C622" s="19">
        <v>6</v>
      </c>
      <c r="D622" s="19">
        <v>2026</v>
      </c>
      <c r="E622" s="19" t="s">
        <v>2494</v>
      </c>
    </row>
    <row r="623" spans="1:6" x14ac:dyDescent="0.2">
      <c r="A623" s="19" t="s">
        <v>20</v>
      </c>
      <c r="B623" s="19" t="s">
        <v>1370</v>
      </c>
      <c r="C623" s="19">
        <v>6</v>
      </c>
      <c r="D623" s="19">
        <v>2026</v>
      </c>
      <c r="E623" s="19" t="s">
        <v>2495</v>
      </c>
      <c r="F623" s="19">
        <v>1</v>
      </c>
    </row>
    <row r="624" spans="1:6" x14ac:dyDescent="0.2">
      <c r="A624" s="19" t="s">
        <v>25</v>
      </c>
      <c r="B624" s="19" t="s">
        <v>1371</v>
      </c>
      <c r="C624" s="19">
        <v>6</v>
      </c>
      <c r="D624" s="19">
        <v>2026</v>
      </c>
      <c r="E624" s="19" t="s">
        <v>2496</v>
      </c>
      <c r="F624" s="19">
        <v>3</v>
      </c>
    </row>
    <row r="625" spans="1:6" x14ac:dyDescent="0.2">
      <c r="A625" s="19" t="s">
        <v>22</v>
      </c>
      <c r="B625" s="19" t="s">
        <v>1372</v>
      </c>
      <c r="C625" s="19">
        <v>6</v>
      </c>
      <c r="D625" s="19">
        <v>2026</v>
      </c>
      <c r="E625" s="19" t="s">
        <v>2497</v>
      </c>
      <c r="F625" s="19">
        <v>1</v>
      </c>
    </row>
    <row r="626" spans="1:6" x14ac:dyDescent="0.2">
      <c r="A626" s="19" t="s">
        <v>32</v>
      </c>
      <c r="B626" s="19" t="s">
        <v>1373</v>
      </c>
      <c r="C626" s="19">
        <v>6</v>
      </c>
      <c r="D626" s="19">
        <v>2026</v>
      </c>
      <c r="E626" s="19" t="s">
        <v>2498</v>
      </c>
    </row>
    <row r="627" spans="1:6" x14ac:dyDescent="0.2">
      <c r="A627" s="19" t="s">
        <v>34</v>
      </c>
      <c r="B627" s="19" t="s">
        <v>1374</v>
      </c>
      <c r="C627" s="19">
        <v>6</v>
      </c>
      <c r="D627" s="19">
        <v>2026</v>
      </c>
      <c r="E627" s="19" t="s">
        <v>2499</v>
      </c>
    </row>
    <row r="628" spans="1:6" x14ac:dyDescent="0.2">
      <c r="A628" s="19" t="s">
        <v>26</v>
      </c>
      <c r="B628" s="19" t="s">
        <v>1375</v>
      </c>
      <c r="C628" s="19">
        <v>6</v>
      </c>
      <c r="D628" s="19">
        <v>2026</v>
      </c>
      <c r="E628" s="19" t="s">
        <v>2500</v>
      </c>
    </row>
    <row r="629" spans="1:6" x14ac:dyDescent="0.2">
      <c r="A629" s="19" t="s">
        <v>27</v>
      </c>
      <c r="B629" s="19" t="s">
        <v>1376</v>
      </c>
      <c r="C629" s="19">
        <v>6</v>
      </c>
      <c r="D629" s="19">
        <v>2026</v>
      </c>
      <c r="E629" s="19" t="s">
        <v>2501</v>
      </c>
    </row>
    <row r="630" spans="1:6" x14ac:dyDescent="0.2">
      <c r="A630" s="19" t="s">
        <v>31</v>
      </c>
      <c r="B630" s="19" t="s">
        <v>1358</v>
      </c>
      <c r="C630" s="19">
        <v>6</v>
      </c>
      <c r="D630" s="19">
        <v>2026</v>
      </c>
      <c r="E630" s="19" t="s">
        <v>2502</v>
      </c>
      <c r="F630" s="19">
        <v>1</v>
      </c>
    </row>
    <row r="631" spans="1:6" x14ac:dyDescent="0.2">
      <c r="A631" s="19" t="s">
        <v>33</v>
      </c>
      <c r="B631" s="19" t="s">
        <v>1377</v>
      </c>
      <c r="C631" s="19">
        <v>6</v>
      </c>
      <c r="D631" s="19">
        <v>2026</v>
      </c>
      <c r="E631" s="19" t="s">
        <v>2503</v>
      </c>
      <c r="F631" s="19">
        <v>1</v>
      </c>
    </row>
    <row r="632" spans="1:6" x14ac:dyDescent="0.2">
      <c r="A632" s="19" t="s">
        <v>6</v>
      </c>
      <c r="B632" s="19" t="s">
        <v>1357</v>
      </c>
      <c r="C632" s="19">
        <v>7</v>
      </c>
      <c r="D632" s="19">
        <v>2026</v>
      </c>
      <c r="E632" s="19" t="s">
        <v>2504</v>
      </c>
      <c r="F632" s="19">
        <v>1</v>
      </c>
    </row>
    <row r="633" spans="1:6" x14ac:dyDescent="0.2">
      <c r="A633" s="19" t="s">
        <v>23</v>
      </c>
      <c r="B633" s="19" t="s">
        <v>1359</v>
      </c>
      <c r="C633" s="19">
        <v>7</v>
      </c>
      <c r="D633" s="19">
        <v>2026</v>
      </c>
      <c r="E633" s="19" t="s">
        <v>2505</v>
      </c>
    </row>
    <row r="634" spans="1:6" x14ac:dyDescent="0.2">
      <c r="A634" s="19" t="s">
        <v>21</v>
      </c>
      <c r="B634" s="19" t="s">
        <v>1360</v>
      </c>
      <c r="C634" s="19">
        <v>7</v>
      </c>
      <c r="D634" s="19">
        <v>2026</v>
      </c>
      <c r="E634" s="19" t="s">
        <v>2506</v>
      </c>
      <c r="F634" s="19">
        <v>1</v>
      </c>
    </row>
    <row r="635" spans="1:6" x14ac:dyDescent="0.2">
      <c r="A635" s="19" t="s">
        <v>1</v>
      </c>
      <c r="B635" s="19" t="s">
        <v>1361</v>
      </c>
      <c r="C635" s="19">
        <v>7</v>
      </c>
      <c r="D635" s="19">
        <v>2026</v>
      </c>
      <c r="E635" s="19" t="s">
        <v>2507</v>
      </c>
    </row>
    <row r="636" spans="1:6" x14ac:dyDescent="0.2">
      <c r="A636" s="19" t="s">
        <v>24</v>
      </c>
      <c r="B636" s="19" t="s">
        <v>1362</v>
      </c>
      <c r="C636" s="19">
        <v>7</v>
      </c>
      <c r="D636" s="19">
        <v>2026</v>
      </c>
      <c r="E636" s="19" t="s">
        <v>2508</v>
      </c>
    </row>
    <row r="637" spans="1:6" x14ac:dyDescent="0.2">
      <c r="A637" s="19" t="s">
        <v>29</v>
      </c>
      <c r="B637" s="19" t="s">
        <v>1363</v>
      </c>
      <c r="C637" s="19">
        <v>7</v>
      </c>
      <c r="D637" s="19">
        <v>2026</v>
      </c>
      <c r="E637" s="19" t="s">
        <v>2509</v>
      </c>
    </row>
    <row r="638" spans="1:6" x14ac:dyDescent="0.2">
      <c r="A638" s="19" t="s">
        <v>14</v>
      </c>
      <c r="B638" s="19" t="s">
        <v>1364</v>
      </c>
      <c r="C638" s="19">
        <v>7</v>
      </c>
      <c r="D638" s="19">
        <v>2026</v>
      </c>
      <c r="E638" s="19" t="s">
        <v>2510</v>
      </c>
      <c r="F638" s="19">
        <v>7</v>
      </c>
    </row>
    <row r="639" spans="1:6" x14ac:dyDescent="0.2">
      <c r="A639" s="19" t="s">
        <v>28</v>
      </c>
      <c r="B639" s="19" t="s">
        <v>1365</v>
      </c>
      <c r="C639" s="19">
        <v>7</v>
      </c>
      <c r="D639" s="19">
        <v>2026</v>
      </c>
      <c r="E639" s="19" t="s">
        <v>2511</v>
      </c>
    </row>
    <row r="640" spans="1:6" x14ac:dyDescent="0.2">
      <c r="A640" s="19" t="s">
        <v>18</v>
      </c>
      <c r="B640" s="19" t="s">
        <v>1366</v>
      </c>
      <c r="C640" s="19">
        <v>7</v>
      </c>
      <c r="D640" s="19">
        <v>2026</v>
      </c>
      <c r="E640" s="19" t="s">
        <v>2512</v>
      </c>
    </row>
    <row r="641" spans="1:6" x14ac:dyDescent="0.2">
      <c r="A641" s="19" t="s">
        <v>11</v>
      </c>
      <c r="B641" s="19" t="s">
        <v>1367</v>
      </c>
      <c r="C641" s="19">
        <v>7</v>
      </c>
      <c r="D641" s="19">
        <v>2026</v>
      </c>
      <c r="E641" s="19" t="s">
        <v>2513</v>
      </c>
      <c r="F641" s="19">
        <v>1</v>
      </c>
    </row>
    <row r="642" spans="1:6" x14ac:dyDescent="0.2">
      <c r="A642" s="19" t="s">
        <v>30</v>
      </c>
      <c r="B642" s="19" t="s">
        <v>1368</v>
      </c>
      <c r="C642" s="19">
        <v>7</v>
      </c>
      <c r="D642" s="19">
        <v>2026</v>
      </c>
      <c r="E642" s="19" t="s">
        <v>2514</v>
      </c>
      <c r="F642" s="19">
        <v>1</v>
      </c>
    </row>
    <row r="643" spans="1:6" x14ac:dyDescent="0.2">
      <c r="A643" s="19" t="s">
        <v>16</v>
      </c>
      <c r="B643" s="19" t="s">
        <v>1369</v>
      </c>
      <c r="C643" s="19">
        <v>7</v>
      </c>
      <c r="D643" s="19">
        <v>2026</v>
      </c>
      <c r="E643" s="19" t="s">
        <v>2515</v>
      </c>
      <c r="F643" s="19">
        <v>2</v>
      </c>
    </row>
    <row r="644" spans="1:6" x14ac:dyDescent="0.2">
      <c r="A644" s="19" t="s">
        <v>20</v>
      </c>
      <c r="B644" s="19" t="s">
        <v>1370</v>
      </c>
      <c r="C644" s="19">
        <v>7</v>
      </c>
      <c r="D644" s="19">
        <v>2026</v>
      </c>
      <c r="E644" s="19" t="s">
        <v>2516</v>
      </c>
    </row>
    <row r="645" spans="1:6" x14ac:dyDescent="0.2">
      <c r="A645" s="19" t="s">
        <v>25</v>
      </c>
      <c r="B645" s="19" t="s">
        <v>1371</v>
      </c>
      <c r="C645" s="19">
        <v>7</v>
      </c>
      <c r="D645" s="19">
        <v>2026</v>
      </c>
      <c r="E645" s="19" t="s">
        <v>2517</v>
      </c>
      <c r="F645" s="19">
        <v>2</v>
      </c>
    </row>
    <row r="646" spans="1:6" x14ac:dyDescent="0.2">
      <c r="A646" s="19" t="s">
        <v>22</v>
      </c>
      <c r="B646" s="19" t="s">
        <v>1372</v>
      </c>
      <c r="C646" s="19">
        <v>7</v>
      </c>
      <c r="D646" s="19">
        <v>2026</v>
      </c>
      <c r="E646" s="19" t="s">
        <v>2518</v>
      </c>
    </row>
    <row r="647" spans="1:6" x14ac:dyDescent="0.2">
      <c r="A647" s="19" t="s">
        <v>32</v>
      </c>
      <c r="B647" s="19" t="s">
        <v>1373</v>
      </c>
      <c r="C647" s="19">
        <v>7</v>
      </c>
      <c r="D647" s="19">
        <v>2026</v>
      </c>
      <c r="E647" s="19" t="s">
        <v>2519</v>
      </c>
    </row>
    <row r="648" spans="1:6" x14ac:dyDescent="0.2">
      <c r="A648" s="19" t="s">
        <v>34</v>
      </c>
      <c r="B648" s="19" t="s">
        <v>1374</v>
      </c>
      <c r="C648" s="19">
        <v>7</v>
      </c>
      <c r="D648" s="19">
        <v>2026</v>
      </c>
      <c r="E648" s="19" t="s">
        <v>2520</v>
      </c>
      <c r="F648" s="19">
        <v>1</v>
      </c>
    </row>
    <row r="649" spans="1:6" x14ac:dyDescent="0.2">
      <c r="A649" s="19" t="s">
        <v>26</v>
      </c>
      <c r="B649" s="19" t="s">
        <v>1375</v>
      </c>
      <c r="C649" s="19">
        <v>7</v>
      </c>
      <c r="D649" s="19">
        <v>2026</v>
      </c>
      <c r="E649" s="19" t="s">
        <v>2521</v>
      </c>
      <c r="F649" s="19">
        <v>1</v>
      </c>
    </row>
    <row r="650" spans="1:6" x14ac:dyDescent="0.2">
      <c r="A650" s="19" t="s">
        <v>27</v>
      </c>
      <c r="B650" s="19" t="s">
        <v>1376</v>
      </c>
      <c r="C650" s="19">
        <v>7</v>
      </c>
      <c r="D650" s="19">
        <v>2026</v>
      </c>
      <c r="E650" s="19" t="s">
        <v>2522</v>
      </c>
      <c r="F650" s="19">
        <v>1</v>
      </c>
    </row>
    <row r="651" spans="1:6" x14ac:dyDescent="0.2">
      <c r="A651" s="19" t="s">
        <v>31</v>
      </c>
      <c r="B651" s="19" t="s">
        <v>1358</v>
      </c>
      <c r="C651" s="19">
        <v>7</v>
      </c>
      <c r="D651" s="19">
        <v>2026</v>
      </c>
      <c r="E651" s="19" t="s">
        <v>2523</v>
      </c>
    </row>
    <row r="652" spans="1:6" x14ac:dyDescent="0.2">
      <c r="A652" s="19" t="s">
        <v>33</v>
      </c>
      <c r="B652" s="19" t="s">
        <v>1377</v>
      </c>
      <c r="C652" s="19">
        <v>7</v>
      </c>
      <c r="D652" s="19">
        <v>2026</v>
      </c>
      <c r="E652" s="19" t="s">
        <v>2524</v>
      </c>
    </row>
    <row r="653" spans="1:6" x14ac:dyDescent="0.2">
      <c r="A653" s="19" t="s">
        <v>6</v>
      </c>
      <c r="B653" s="19" t="s">
        <v>1357</v>
      </c>
      <c r="C653" s="19">
        <v>8</v>
      </c>
      <c r="D653" s="19">
        <v>2026</v>
      </c>
      <c r="E653" s="19" t="s">
        <v>2525</v>
      </c>
    </row>
    <row r="654" spans="1:6" x14ac:dyDescent="0.2">
      <c r="A654" s="19" t="s">
        <v>23</v>
      </c>
      <c r="B654" s="19" t="s">
        <v>1359</v>
      </c>
      <c r="C654" s="19">
        <v>8</v>
      </c>
      <c r="D654" s="19">
        <v>2026</v>
      </c>
      <c r="E654" s="19" t="s">
        <v>2526</v>
      </c>
      <c r="F654" s="19">
        <v>1</v>
      </c>
    </row>
    <row r="655" spans="1:6" x14ac:dyDescent="0.2">
      <c r="A655" s="19" t="s">
        <v>21</v>
      </c>
      <c r="B655" s="19" t="s">
        <v>1360</v>
      </c>
      <c r="C655" s="19">
        <v>8</v>
      </c>
      <c r="D655" s="19">
        <v>2026</v>
      </c>
      <c r="E655" s="19" t="s">
        <v>2527</v>
      </c>
    </row>
    <row r="656" spans="1:6" x14ac:dyDescent="0.2">
      <c r="A656" s="19" t="s">
        <v>1</v>
      </c>
      <c r="B656" s="19" t="s">
        <v>1361</v>
      </c>
      <c r="C656" s="19">
        <v>8</v>
      </c>
      <c r="D656" s="19">
        <v>2026</v>
      </c>
      <c r="E656" s="19" t="s">
        <v>2528</v>
      </c>
    </row>
    <row r="657" spans="1:6" x14ac:dyDescent="0.2">
      <c r="A657" s="19" t="s">
        <v>24</v>
      </c>
      <c r="B657" s="19" t="s">
        <v>1362</v>
      </c>
      <c r="C657" s="19">
        <v>8</v>
      </c>
      <c r="D657" s="19">
        <v>2026</v>
      </c>
      <c r="E657" s="19" t="s">
        <v>2529</v>
      </c>
    </row>
    <row r="658" spans="1:6" x14ac:dyDescent="0.2">
      <c r="A658" s="19" t="s">
        <v>29</v>
      </c>
      <c r="B658" s="19" t="s">
        <v>1363</v>
      </c>
      <c r="C658" s="19">
        <v>8</v>
      </c>
      <c r="D658" s="19">
        <v>2026</v>
      </c>
      <c r="E658" s="19" t="s">
        <v>2530</v>
      </c>
      <c r="F658" s="19">
        <v>4</v>
      </c>
    </row>
    <row r="659" spans="1:6" x14ac:dyDescent="0.2">
      <c r="A659" s="19" t="s">
        <v>14</v>
      </c>
      <c r="B659" s="19" t="s">
        <v>1364</v>
      </c>
      <c r="C659" s="19">
        <v>8</v>
      </c>
      <c r="D659" s="19">
        <v>2026</v>
      </c>
      <c r="E659" s="19" t="s">
        <v>2531</v>
      </c>
    </row>
    <row r="660" spans="1:6" x14ac:dyDescent="0.2">
      <c r="A660" s="19" t="s">
        <v>28</v>
      </c>
      <c r="B660" s="19" t="s">
        <v>1365</v>
      </c>
      <c r="C660" s="19">
        <v>8</v>
      </c>
      <c r="D660" s="19">
        <v>2026</v>
      </c>
      <c r="E660" s="19" t="s">
        <v>2532</v>
      </c>
    </row>
    <row r="661" spans="1:6" x14ac:dyDescent="0.2">
      <c r="A661" s="19" t="s">
        <v>18</v>
      </c>
      <c r="B661" s="19" t="s">
        <v>1366</v>
      </c>
      <c r="C661" s="19">
        <v>8</v>
      </c>
      <c r="D661" s="19">
        <v>2026</v>
      </c>
      <c r="E661" s="19" t="s">
        <v>2533</v>
      </c>
      <c r="F661" s="19">
        <v>1</v>
      </c>
    </row>
    <row r="662" spans="1:6" x14ac:dyDescent="0.2">
      <c r="A662" s="19" t="s">
        <v>11</v>
      </c>
      <c r="B662" s="19" t="s">
        <v>1367</v>
      </c>
      <c r="C662" s="19">
        <v>8</v>
      </c>
      <c r="D662" s="19">
        <v>2026</v>
      </c>
      <c r="E662" s="19" t="s">
        <v>2534</v>
      </c>
      <c r="F662" s="19">
        <v>3</v>
      </c>
    </row>
    <row r="663" spans="1:6" x14ac:dyDescent="0.2">
      <c r="A663" s="19" t="s">
        <v>30</v>
      </c>
      <c r="B663" s="19" t="s">
        <v>1368</v>
      </c>
      <c r="C663" s="19">
        <v>8</v>
      </c>
      <c r="D663" s="19">
        <v>2026</v>
      </c>
      <c r="E663" s="19" t="s">
        <v>2535</v>
      </c>
      <c r="F663" s="19">
        <v>3</v>
      </c>
    </row>
    <row r="664" spans="1:6" x14ac:dyDescent="0.2">
      <c r="A664" s="19" t="s">
        <v>16</v>
      </c>
      <c r="B664" s="19" t="s">
        <v>1369</v>
      </c>
      <c r="C664" s="19">
        <v>8</v>
      </c>
      <c r="D664" s="19">
        <v>2026</v>
      </c>
      <c r="E664" s="19" t="s">
        <v>2536</v>
      </c>
      <c r="F664" s="19">
        <v>2</v>
      </c>
    </row>
    <row r="665" spans="1:6" x14ac:dyDescent="0.2">
      <c r="A665" s="19" t="s">
        <v>20</v>
      </c>
      <c r="B665" s="19" t="s">
        <v>1370</v>
      </c>
      <c r="C665" s="19">
        <v>8</v>
      </c>
      <c r="D665" s="19">
        <v>2026</v>
      </c>
      <c r="E665" s="19" t="s">
        <v>2537</v>
      </c>
      <c r="F665" s="19">
        <v>3</v>
      </c>
    </row>
    <row r="666" spans="1:6" x14ac:dyDescent="0.2">
      <c r="A666" s="19" t="s">
        <v>25</v>
      </c>
      <c r="B666" s="19" t="s">
        <v>1371</v>
      </c>
      <c r="C666" s="19">
        <v>8</v>
      </c>
      <c r="D666" s="19">
        <v>2026</v>
      </c>
      <c r="E666" s="19" t="s">
        <v>2538</v>
      </c>
    </row>
    <row r="667" spans="1:6" x14ac:dyDescent="0.2">
      <c r="A667" s="19" t="s">
        <v>22</v>
      </c>
      <c r="B667" s="19" t="s">
        <v>1372</v>
      </c>
      <c r="C667" s="19">
        <v>8</v>
      </c>
      <c r="D667" s="19">
        <v>2026</v>
      </c>
      <c r="E667" s="19" t="s">
        <v>2539</v>
      </c>
    </row>
    <row r="668" spans="1:6" x14ac:dyDescent="0.2">
      <c r="A668" s="19" t="s">
        <v>32</v>
      </c>
      <c r="B668" s="19" t="s">
        <v>1373</v>
      </c>
      <c r="C668" s="19">
        <v>8</v>
      </c>
      <c r="D668" s="19">
        <v>2026</v>
      </c>
      <c r="E668" s="19" t="s">
        <v>2540</v>
      </c>
      <c r="F668" s="19">
        <v>2</v>
      </c>
    </row>
    <row r="669" spans="1:6" x14ac:dyDescent="0.2">
      <c r="A669" s="19" t="s">
        <v>34</v>
      </c>
      <c r="B669" s="19" t="s">
        <v>1374</v>
      </c>
      <c r="C669" s="19">
        <v>8</v>
      </c>
      <c r="D669" s="19">
        <v>2026</v>
      </c>
      <c r="E669" s="19" t="s">
        <v>2541</v>
      </c>
      <c r="F669" s="19">
        <v>1</v>
      </c>
    </row>
    <row r="670" spans="1:6" x14ac:dyDescent="0.2">
      <c r="A670" s="19" t="s">
        <v>26</v>
      </c>
      <c r="B670" s="19" t="s">
        <v>1375</v>
      </c>
      <c r="C670" s="19">
        <v>8</v>
      </c>
      <c r="D670" s="19">
        <v>2026</v>
      </c>
      <c r="E670" s="19" t="s">
        <v>2542</v>
      </c>
      <c r="F670" s="19">
        <v>4</v>
      </c>
    </row>
    <row r="671" spans="1:6" x14ac:dyDescent="0.2">
      <c r="A671" s="19" t="s">
        <v>27</v>
      </c>
      <c r="B671" s="19" t="s">
        <v>1376</v>
      </c>
      <c r="C671" s="19">
        <v>8</v>
      </c>
      <c r="D671" s="19">
        <v>2026</v>
      </c>
      <c r="E671" s="19" t="s">
        <v>2543</v>
      </c>
      <c r="F671" s="19">
        <v>2</v>
      </c>
    </row>
    <row r="672" spans="1:6" x14ac:dyDescent="0.2">
      <c r="A672" s="19" t="s">
        <v>31</v>
      </c>
      <c r="B672" s="19" t="s">
        <v>1358</v>
      </c>
      <c r="C672" s="19">
        <v>8</v>
      </c>
      <c r="D672" s="19">
        <v>2026</v>
      </c>
      <c r="E672" s="19" t="s">
        <v>2544</v>
      </c>
      <c r="F672" s="19">
        <v>1</v>
      </c>
    </row>
    <row r="673" spans="1:6" x14ac:dyDescent="0.2">
      <c r="A673" s="19" t="s">
        <v>33</v>
      </c>
      <c r="B673" s="19" t="s">
        <v>1377</v>
      </c>
      <c r="C673" s="19">
        <v>8</v>
      </c>
      <c r="D673" s="19">
        <v>2026</v>
      </c>
      <c r="E673" s="19" t="s">
        <v>2545</v>
      </c>
      <c r="F673" s="19">
        <v>1</v>
      </c>
    </row>
    <row r="674" spans="1:6" x14ac:dyDescent="0.2">
      <c r="A674" s="19" t="s">
        <v>6</v>
      </c>
      <c r="B674" s="19" t="s">
        <v>1357</v>
      </c>
      <c r="C674" s="19">
        <v>9</v>
      </c>
      <c r="D674" s="19">
        <v>2026</v>
      </c>
      <c r="E674" s="19" t="s">
        <v>2546</v>
      </c>
    </row>
    <row r="675" spans="1:6" x14ac:dyDescent="0.2">
      <c r="A675" s="19" t="s">
        <v>23</v>
      </c>
      <c r="B675" s="19" t="s">
        <v>1359</v>
      </c>
      <c r="C675" s="19">
        <v>9</v>
      </c>
      <c r="D675" s="19">
        <v>2026</v>
      </c>
      <c r="E675" s="19" t="s">
        <v>2547</v>
      </c>
      <c r="F675" s="19">
        <v>2</v>
      </c>
    </row>
    <row r="676" spans="1:6" x14ac:dyDescent="0.2">
      <c r="A676" s="19" t="s">
        <v>21</v>
      </c>
      <c r="B676" s="19" t="s">
        <v>1360</v>
      </c>
      <c r="C676" s="19">
        <v>9</v>
      </c>
      <c r="D676" s="19">
        <v>2026</v>
      </c>
      <c r="E676" s="19" t="s">
        <v>2548</v>
      </c>
    </row>
    <row r="677" spans="1:6" x14ac:dyDescent="0.2">
      <c r="A677" s="19" t="s">
        <v>1</v>
      </c>
      <c r="B677" s="19" t="s">
        <v>1361</v>
      </c>
      <c r="C677" s="19">
        <v>9</v>
      </c>
      <c r="D677" s="19">
        <v>2026</v>
      </c>
      <c r="E677" s="19" t="s">
        <v>2549</v>
      </c>
    </row>
    <row r="678" spans="1:6" x14ac:dyDescent="0.2">
      <c r="A678" s="19" t="s">
        <v>24</v>
      </c>
      <c r="B678" s="19" t="s">
        <v>1362</v>
      </c>
      <c r="C678" s="19">
        <v>9</v>
      </c>
      <c r="D678" s="19">
        <v>2026</v>
      </c>
      <c r="E678" s="19" t="s">
        <v>2550</v>
      </c>
      <c r="F678" s="19">
        <v>5</v>
      </c>
    </row>
    <row r="679" spans="1:6" x14ac:dyDescent="0.2">
      <c r="A679" s="19" t="s">
        <v>29</v>
      </c>
      <c r="B679" s="19" t="s">
        <v>1363</v>
      </c>
      <c r="C679" s="19">
        <v>9</v>
      </c>
      <c r="D679" s="19">
        <v>2026</v>
      </c>
      <c r="E679" s="19" t="s">
        <v>2551</v>
      </c>
      <c r="F679" s="19">
        <v>1</v>
      </c>
    </row>
    <row r="680" spans="1:6" x14ac:dyDescent="0.2">
      <c r="A680" s="19" t="s">
        <v>14</v>
      </c>
      <c r="B680" s="19" t="s">
        <v>1364</v>
      </c>
      <c r="C680" s="19">
        <v>9</v>
      </c>
      <c r="D680" s="19">
        <v>2026</v>
      </c>
      <c r="E680" s="19" t="s">
        <v>2552</v>
      </c>
    </row>
    <row r="681" spans="1:6" x14ac:dyDescent="0.2">
      <c r="A681" s="19" t="s">
        <v>28</v>
      </c>
      <c r="B681" s="19" t="s">
        <v>1365</v>
      </c>
      <c r="C681" s="19">
        <v>9</v>
      </c>
      <c r="D681" s="19">
        <v>2026</v>
      </c>
      <c r="E681" s="19" t="s">
        <v>2553</v>
      </c>
      <c r="F681" s="19">
        <v>1</v>
      </c>
    </row>
    <row r="682" spans="1:6" x14ac:dyDescent="0.2">
      <c r="A682" s="19" t="s">
        <v>18</v>
      </c>
      <c r="B682" s="19" t="s">
        <v>1366</v>
      </c>
      <c r="C682" s="19">
        <v>9</v>
      </c>
      <c r="D682" s="19">
        <v>2026</v>
      </c>
      <c r="E682" s="19" t="s">
        <v>2554</v>
      </c>
      <c r="F682" s="19">
        <v>3</v>
      </c>
    </row>
    <row r="683" spans="1:6" x14ac:dyDescent="0.2">
      <c r="A683" s="19" t="s">
        <v>11</v>
      </c>
      <c r="B683" s="19" t="s">
        <v>1367</v>
      </c>
      <c r="C683" s="19">
        <v>9</v>
      </c>
      <c r="D683" s="19">
        <v>2026</v>
      </c>
      <c r="E683" s="19" t="s">
        <v>2555</v>
      </c>
      <c r="F683" s="19">
        <v>5</v>
      </c>
    </row>
    <row r="684" spans="1:6" x14ac:dyDescent="0.2">
      <c r="A684" s="19" t="s">
        <v>30</v>
      </c>
      <c r="B684" s="19" t="s">
        <v>1368</v>
      </c>
      <c r="C684" s="19">
        <v>9</v>
      </c>
      <c r="D684" s="19">
        <v>2026</v>
      </c>
      <c r="E684" s="19" t="s">
        <v>2556</v>
      </c>
      <c r="F684" s="19">
        <v>4</v>
      </c>
    </row>
    <row r="685" spans="1:6" x14ac:dyDescent="0.2">
      <c r="A685" s="19" t="s">
        <v>16</v>
      </c>
      <c r="B685" s="19" t="s">
        <v>1369</v>
      </c>
      <c r="C685" s="19">
        <v>9</v>
      </c>
      <c r="D685" s="19">
        <v>2026</v>
      </c>
      <c r="E685" s="19" t="s">
        <v>2557</v>
      </c>
      <c r="F685" s="19">
        <v>1</v>
      </c>
    </row>
    <row r="686" spans="1:6" x14ac:dyDescent="0.2">
      <c r="A686" s="19" t="s">
        <v>20</v>
      </c>
      <c r="B686" s="19" t="s">
        <v>1370</v>
      </c>
      <c r="C686" s="19">
        <v>9</v>
      </c>
      <c r="D686" s="19">
        <v>2026</v>
      </c>
      <c r="E686" s="19" t="s">
        <v>2558</v>
      </c>
    </row>
    <row r="687" spans="1:6" x14ac:dyDescent="0.2">
      <c r="A687" s="19" t="s">
        <v>25</v>
      </c>
      <c r="B687" s="19" t="s">
        <v>1371</v>
      </c>
      <c r="C687" s="19">
        <v>9</v>
      </c>
      <c r="D687" s="19">
        <v>2026</v>
      </c>
      <c r="E687" s="19" t="s">
        <v>2559</v>
      </c>
    </row>
    <row r="688" spans="1:6" x14ac:dyDescent="0.2">
      <c r="A688" s="19" t="s">
        <v>22</v>
      </c>
      <c r="B688" s="19" t="s">
        <v>1372</v>
      </c>
      <c r="C688" s="19">
        <v>9</v>
      </c>
      <c r="D688" s="19">
        <v>2026</v>
      </c>
      <c r="E688" s="19" t="s">
        <v>2560</v>
      </c>
      <c r="F688" s="19">
        <v>5</v>
      </c>
    </row>
    <row r="689" spans="1:6" x14ac:dyDescent="0.2">
      <c r="A689" s="19" t="s">
        <v>32</v>
      </c>
      <c r="B689" s="19" t="s">
        <v>1373</v>
      </c>
      <c r="C689" s="19">
        <v>9</v>
      </c>
      <c r="D689" s="19">
        <v>2026</v>
      </c>
      <c r="E689" s="19" t="s">
        <v>2561</v>
      </c>
      <c r="F689" s="19">
        <v>3</v>
      </c>
    </row>
    <row r="690" spans="1:6" x14ac:dyDescent="0.2">
      <c r="A690" s="19" t="s">
        <v>34</v>
      </c>
      <c r="B690" s="19" t="s">
        <v>1374</v>
      </c>
      <c r="C690" s="19">
        <v>9</v>
      </c>
      <c r="D690" s="19">
        <v>2026</v>
      </c>
      <c r="E690" s="19" t="s">
        <v>2562</v>
      </c>
      <c r="F690" s="19">
        <v>3</v>
      </c>
    </row>
    <row r="691" spans="1:6" x14ac:dyDescent="0.2">
      <c r="A691" s="19" t="s">
        <v>26</v>
      </c>
      <c r="B691" s="19" t="s">
        <v>1375</v>
      </c>
      <c r="C691" s="19">
        <v>9</v>
      </c>
      <c r="D691" s="19">
        <v>2026</v>
      </c>
      <c r="E691" s="19" t="s">
        <v>2563</v>
      </c>
      <c r="F691" s="19">
        <v>2</v>
      </c>
    </row>
    <row r="692" spans="1:6" x14ac:dyDescent="0.2">
      <c r="A692" s="19" t="s">
        <v>27</v>
      </c>
      <c r="B692" s="19" t="s">
        <v>1376</v>
      </c>
      <c r="C692" s="19">
        <v>9</v>
      </c>
      <c r="D692" s="19">
        <v>2026</v>
      </c>
      <c r="E692" s="19" t="s">
        <v>2564</v>
      </c>
      <c r="F692" s="19">
        <v>2</v>
      </c>
    </row>
    <row r="693" spans="1:6" x14ac:dyDescent="0.2">
      <c r="A693" s="19" t="s">
        <v>31</v>
      </c>
      <c r="B693" s="19" t="s">
        <v>1358</v>
      </c>
      <c r="C693" s="19">
        <v>9</v>
      </c>
      <c r="D693" s="19">
        <v>2026</v>
      </c>
      <c r="E693" s="19" t="s">
        <v>2565</v>
      </c>
      <c r="F693" s="19">
        <v>1</v>
      </c>
    </row>
    <row r="694" spans="1:6" x14ac:dyDescent="0.2">
      <c r="A694" s="19" t="s">
        <v>33</v>
      </c>
      <c r="B694" s="19" t="s">
        <v>1377</v>
      </c>
      <c r="C694" s="19">
        <v>9</v>
      </c>
      <c r="D694" s="19">
        <v>2026</v>
      </c>
      <c r="E694" s="19" t="s">
        <v>2566</v>
      </c>
      <c r="F694" s="19">
        <v>1</v>
      </c>
    </row>
    <row r="695" spans="1:6" x14ac:dyDescent="0.2">
      <c r="A695" s="19" t="s">
        <v>6</v>
      </c>
      <c r="B695" s="19" t="s">
        <v>1357</v>
      </c>
      <c r="C695" s="19">
        <v>10</v>
      </c>
      <c r="D695" s="19">
        <v>2026</v>
      </c>
      <c r="E695" s="19" t="s">
        <v>2567</v>
      </c>
    </row>
    <row r="696" spans="1:6" x14ac:dyDescent="0.2">
      <c r="A696" s="19" t="s">
        <v>23</v>
      </c>
      <c r="B696" s="19" t="s">
        <v>1359</v>
      </c>
      <c r="C696" s="19">
        <v>10</v>
      </c>
      <c r="D696" s="19">
        <v>2026</v>
      </c>
      <c r="E696" s="19" t="s">
        <v>2568</v>
      </c>
    </row>
    <row r="697" spans="1:6" x14ac:dyDescent="0.2">
      <c r="A697" s="19" t="s">
        <v>21</v>
      </c>
      <c r="B697" s="19" t="s">
        <v>1360</v>
      </c>
      <c r="C697" s="19">
        <v>10</v>
      </c>
      <c r="D697" s="19">
        <v>2026</v>
      </c>
      <c r="E697" s="19" t="s">
        <v>2569</v>
      </c>
    </row>
    <row r="698" spans="1:6" x14ac:dyDescent="0.2">
      <c r="A698" s="19" t="s">
        <v>1</v>
      </c>
      <c r="B698" s="19" t="s">
        <v>1361</v>
      </c>
      <c r="C698" s="19">
        <v>10</v>
      </c>
      <c r="D698" s="19">
        <v>2026</v>
      </c>
      <c r="E698" s="19" t="s">
        <v>2570</v>
      </c>
      <c r="F698" s="19">
        <v>4</v>
      </c>
    </row>
    <row r="699" spans="1:6" x14ac:dyDescent="0.2">
      <c r="A699" s="19" t="s">
        <v>24</v>
      </c>
      <c r="B699" s="19" t="s">
        <v>1362</v>
      </c>
      <c r="C699" s="19">
        <v>10</v>
      </c>
      <c r="D699" s="19">
        <v>2026</v>
      </c>
      <c r="E699" s="19" t="s">
        <v>2571</v>
      </c>
      <c r="F699" s="19">
        <v>1</v>
      </c>
    </row>
    <row r="700" spans="1:6" x14ac:dyDescent="0.2">
      <c r="A700" s="19" t="s">
        <v>29</v>
      </c>
      <c r="B700" s="19" t="s">
        <v>1363</v>
      </c>
      <c r="C700" s="19">
        <v>10</v>
      </c>
      <c r="D700" s="19">
        <v>2026</v>
      </c>
      <c r="E700" s="19" t="s">
        <v>2572</v>
      </c>
    </row>
    <row r="701" spans="1:6" x14ac:dyDescent="0.2">
      <c r="A701" s="19" t="s">
        <v>14</v>
      </c>
      <c r="B701" s="19" t="s">
        <v>1364</v>
      </c>
      <c r="C701" s="19">
        <v>10</v>
      </c>
      <c r="D701" s="19">
        <v>2026</v>
      </c>
      <c r="E701" s="19" t="s">
        <v>2573</v>
      </c>
      <c r="F701" s="19">
        <v>1</v>
      </c>
    </row>
    <row r="702" spans="1:6" x14ac:dyDescent="0.2">
      <c r="A702" s="19" t="s">
        <v>28</v>
      </c>
      <c r="B702" s="19" t="s">
        <v>1365</v>
      </c>
      <c r="C702" s="19">
        <v>10</v>
      </c>
      <c r="D702" s="19">
        <v>2026</v>
      </c>
      <c r="E702" s="19" t="s">
        <v>2574</v>
      </c>
      <c r="F702" s="19">
        <v>2</v>
      </c>
    </row>
    <row r="703" spans="1:6" x14ac:dyDescent="0.2">
      <c r="A703" s="19" t="s">
        <v>18</v>
      </c>
      <c r="B703" s="19" t="s">
        <v>1366</v>
      </c>
      <c r="C703" s="19">
        <v>10</v>
      </c>
      <c r="D703" s="19">
        <v>2026</v>
      </c>
      <c r="E703" s="19" t="s">
        <v>2575</v>
      </c>
      <c r="F703" s="19">
        <v>3</v>
      </c>
    </row>
    <row r="704" spans="1:6" x14ac:dyDescent="0.2">
      <c r="A704" s="19" t="s">
        <v>11</v>
      </c>
      <c r="B704" s="19" t="s">
        <v>1367</v>
      </c>
      <c r="C704" s="19">
        <v>10</v>
      </c>
      <c r="D704" s="19">
        <v>2026</v>
      </c>
      <c r="E704" s="19" t="s">
        <v>2576</v>
      </c>
      <c r="F704" s="19">
        <v>1</v>
      </c>
    </row>
    <row r="705" spans="1:6" x14ac:dyDescent="0.2">
      <c r="A705" s="19" t="s">
        <v>30</v>
      </c>
      <c r="B705" s="19" t="s">
        <v>1368</v>
      </c>
      <c r="C705" s="19">
        <v>10</v>
      </c>
      <c r="D705" s="19">
        <v>2026</v>
      </c>
      <c r="E705" s="19" t="s">
        <v>2577</v>
      </c>
      <c r="F705" s="19">
        <v>1</v>
      </c>
    </row>
    <row r="706" spans="1:6" x14ac:dyDescent="0.2">
      <c r="A706" s="19" t="s">
        <v>16</v>
      </c>
      <c r="B706" s="19" t="s">
        <v>1369</v>
      </c>
      <c r="C706" s="19">
        <v>10</v>
      </c>
      <c r="D706" s="19">
        <v>2026</v>
      </c>
      <c r="E706" s="19" t="s">
        <v>2578</v>
      </c>
      <c r="F706" s="19">
        <v>1</v>
      </c>
    </row>
    <row r="707" spans="1:6" x14ac:dyDescent="0.2">
      <c r="A707" s="19" t="s">
        <v>20</v>
      </c>
      <c r="B707" s="19" t="s">
        <v>1370</v>
      </c>
      <c r="C707" s="19">
        <v>10</v>
      </c>
      <c r="D707" s="19">
        <v>2026</v>
      </c>
      <c r="E707" s="19" t="s">
        <v>2579</v>
      </c>
      <c r="F707" s="19">
        <v>1</v>
      </c>
    </row>
    <row r="708" spans="1:6" x14ac:dyDescent="0.2">
      <c r="A708" s="19" t="s">
        <v>25</v>
      </c>
      <c r="B708" s="19" t="s">
        <v>1371</v>
      </c>
      <c r="C708" s="19">
        <v>10</v>
      </c>
      <c r="D708" s="19">
        <v>2026</v>
      </c>
      <c r="E708" s="19" t="s">
        <v>2580</v>
      </c>
      <c r="F708" s="19">
        <v>5</v>
      </c>
    </row>
    <row r="709" spans="1:6" x14ac:dyDescent="0.2">
      <c r="A709" s="19" t="s">
        <v>22</v>
      </c>
      <c r="B709" s="19" t="s">
        <v>1372</v>
      </c>
      <c r="C709" s="19">
        <v>10</v>
      </c>
      <c r="D709" s="19">
        <v>2026</v>
      </c>
      <c r="E709" s="19" t="s">
        <v>2581</v>
      </c>
      <c r="F709" s="19">
        <v>6</v>
      </c>
    </row>
    <row r="710" spans="1:6" x14ac:dyDescent="0.2">
      <c r="A710" s="19" t="s">
        <v>32</v>
      </c>
      <c r="B710" s="19" t="s">
        <v>1373</v>
      </c>
      <c r="C710" s="19">
        <v>10</v>
      </c>
      <c r="D710" s="19">
        <v>2026</v>
      </c>
      <c r="E710" s="19" t="s">
        <v>2582</v>
      </c>
      <c r="F710" s="19">
        <v>5</v>
      </c>
    </row>
    <row r="711" spans="1:6" x14ac:dyDescent="0.2">
      <c r="A711" s="19" t="s">
        <v>34</v>
      </c>
      <c r="B711" s="19" t="s">
        <v>1374</v>
      </c>
      <c r="C711" s="19">
        <v>10</v>
      </c>
      <c r="D711" s="19">
        <v>2026</v>
      </c>
      <c r="E711" s="19" t="s">
        <v>2583</v>
      </c>
    </row>
    <row r="712" spans="1:6" x14ac:dyDescent="0.2">
      <c r="A712" s="19" t="s">
        <v>26</v>
      </c>
      <c r="B712" s="19" t="s">
        <v>1375</v>
      </c>
      <c r="C712" s="19">
        <v>10</v>
      </c>
      <c r="D712" s="19">
        <v>2026</v>
      </c>
      <c r="E712" s="19" t="s">
        <v>2584</v>
      </c>
      <c r="F712" s="19">
        <v>4</v>
      </c>
    </row>
    <row r="713" spans="1:6" x14ac:dyDescent="0.2">
      <c r="A713" s="19" t="s">
        <v>27</v>
      </c>
      <c r="B713" s="19" t="s">
        <v>1376</v>
      </c>
      <c r="C713" s="19">
        <v>10</v>
      </c>
      <c r="D713" s="19">
        <v>2026</v>
      </c>
      <c r="E713" s="19" t="s">
        <v>2585</v>
      </c>
      <c r="F713" s="19">
        <v>2</v>
      </c>
    </row>
    <row r="714" spans="1:6" x14ac:dyDescent="0.2">
      <c r="A714" s="19" t="s">
        <v>31</v>
      </c>
      <c r="B714" s="19" t="s">
        <v>1358</v>
      </c>
      <c r="C714" s="19">
        <v>10</v>
      </c>
      <c r="D714" s="19">
        <v>2026</v>
      </c>
      <c r="E714" s="19" t="s">
        <v>2586</v>
      </c>
      <c r="F714" s="19">
        <v>1</v>
      </c>
    </row>
    <row r="715" spans="1:6" x14ac:dyDescent="0.2">
      <c r="A715" s="19" t="s">
        <v>33</v>
      </c>
      <c r="B715" s="19" t="s">
        <v>1377</v>
      </c>
      <c r="C715" s="19">
        <v>10</v>
      </c>
      <c r="D715" s="19">
        <v>2026</v>
      </c>
      <c r="E715" s="19" t="s">
        <v>2587</v>
      </c>
    </row>
    <row r="716" spans="1:6" x14ac:dyDescent="0.2">
      <c r="A716" s="19" t="s">
        <v>6</v>
      </c>
      <c r="B716" s="19" t="s">
        <v>1357</v>
      </c>
      <c r="C716" s="19">
        <v>11</v>
      </c>
      <c r="D716" s="19">
        <v>2026</v>
      </c>
      <c r="E716" s="19" t="s">
        <v>2588</v>
      </c>
    </row>
    <row r="717" spans="1:6" x14ac:dyDescent="0.2">
      <c r="A717" s="19" t="s">
        <v>23</v>
      </c>
      <c r="B717" s="19" t="s">
        <v>1359</v>
      </c>
      <c r="C717" s="19">
        <v>11</v>
      </c>
      <c r="D717" s="19">
        <v>2026</v>
      </c>
      <c r="E717" s="19" t="s">
        <v>2589</v>
      </c>
    </row>
    <row r="718" spans="1:6" x14ac:dyDescent="0.2">
      <c r="A718" s="19" t="s">
        <v>21</v>
      </c>
      <c r="B718" s="19" t="s">
        <v>1360</v>
      </c>
      <c r="C718" s="19">
        <v>11</v>
      </c>
      <c r="D718" s="19">
        <v>2026</v>
      </c>
      <c r="E718" s="19" t="s">
        <v>2590</v>
      </c>
      <c r="F718" s="19">
        <v>3</v>
      </c>
    </row>
    <row r="719" spans="1:6" x14ac:dyDescent="0.2">
      <c r="A719" s="19" t="s">
        <v>1</v>
      </c>
      <c r="B719" s="19" t="s">
        <v>1361</v>
      </c>
      <c r="C719" s="19">
        <v>11</v>
      </c>
      <c r="D719" s="19">
        <v>2026</v>
      </c>
      <c r="E719" s="19" t="s">
        <v>2591</v>
      </c>
      <c r="F719" s="19">
        <v>2</v>
      </c>
    </row>
    <row r="720" spans="1:6" x14ac:dyDescent="0.2">
      <c r="A720" s="19" t="s">
        <v>24</v>
      </c>
      <c r="B720" s="19" t="s">
        <v>1362</v>
      </c>
      <c r="C720" s="19">
        <v>11</v>
      </c>
      <c r="D720" s="19">
        <v>2026</v>
      </c>
      <c r="E720" s="19" t="s">
        <v>2592</v>
      </c>
    </row>
    <row r="721" spans="1:6" x14ac:dyDescent="0.2">
      <c r="A721" s="19" t="s">
        <v>29</v>
      </c>
      <c r="B721" s="19" t="s">
        <v>1363</v>
      </c>
      <c r="C721" s="19">
        <v>11</v>
      </c>
      <c r="D721" s="19">
        <v>2026</v>
      </c>
      <c r="E721" s="19" t="s">
        <v>2593</v>
      </c>
      <c r="F721" s="19">
        <v>1</v>
      </c>
    </row>
    <row r="722" spans="1:6" x14ac:dyDescent="0.2">
      <c r="A722" s="19" t="s">
        <v>14</v>
      </c>
      <c r="B722" s="19" t="s">
        <v>1364</v>
      </c>
      <c r="C722" s="19">
        <v>11</v>
      </c>
      <c r="D722" s="19">
        <v>2026</v>
      </c>
      <c r="E722" s="19" t="s">
        <v>2594</v>
      </c>
      <c r="F722" s="19">
        <v>1</v>
      </c>
    </row>
    <row r="723" spans="1:6" x14ac:dyDescent="0.2">
      <c r="A723" s="19" t="s">
        <v>28</v>
      </c>
      <c r="B723" s="19" t="s">
        <v>1365</v>
      </c>
      <c r="C723" s="19">
        <v>11</v>
      </c>
      <c r="D723" s="19">
        <v>2026</v>
      </c>
      <c r="E723" s="19" t="s">
        <v>2595</v>
      </c>
      <c r="F723" s="19">
        <v>1</v>
      </c>
    </row>
    <row r="724" spans="1:6" x14ac:dyDescent="0.2">
      <c r="A724" s="19" t="s">
        <v>18</v>
      </c>
      <c r="B724" s="19" t="s">
        <v>1366</v>
      </c>
      <c r="C724" s="19">
        <v>11</v>
      </c>
      <c r="D724" s="19">
        <v>2026</v>
      </c>
      <c r="E724" s="19" t="s">
        <v>2596</v>
      </c>
      <c r="F724" s="19">
        <v>1</v>
      </c>
    </row>
    <row r="725" spans="1:6" x14ac:dyDescent="0.2">
      <c r="A725" s="19" t="s">
        <v>11</v>
      </c>
      <c r="B725" s="19" t="s">
        <v>1367</v>
      </c>
      <c r="C725" s="19">
        <v>11</v>
      </c>
      <c r="D725" s="19">
        <v>2026</v>
      </c>
      <c r="E725" s="19" t="s">
        <v>2597</v>
      </c>
      <c r="F725" s="19">
        <v>1</v>
      </c>
    </row>
    <row r="726" spans="1:6" x14ac:dyDescent="0.2">
      <c r="A726" s="19" t="s">
        <v>30</v>
      </c>
      <c r="B726" s="19" t="s">
        <v>1368</v>
      </c>
      <c r="C726" s="19">
        <v>11</v>
      </c>
      <c r="D726" s="19">
        <v>2026</v>
      </c>
      <c r="E726" s="19" t="s">
        <v>2598</v>
      </c>
    </row>
    <row r="727" spans="1:6" x14ac:dyDescent="0.2">
      <c r="A727" s="19" t="s">
        <v>16</v>
      </c>
      <c r="B727" s="19" t="s">
        <v>1369</v>
      </c>
      <c r="C727" s="19">
        <v>11</v>
      </c>
      <c r="D727" s="19">
        <v>2026</v>
      </c>
      <c r="E727" s="19" t="s">
        <v>2599</v>
      </c>
    </row>
    <row r="728" spans="1:6" x14ac:dyDescent="0.2">
      <c r="A728" s="19" t="s">
        <v>20</v>
      </c>
      <c r="B728" s="19" t="s">
        <v>1370</v>
      </c>
      <c r="C728" s="19">
        <v>11</v>
      </c>
      <c r="D728" s="19">
        <v>2026</v>
      </c>
      <c r="E728" s="19" t="s">
        <v>2600</v>
      </c>
      <c r="F728" s="19">
        <v>1</v>
      </c>
    </row>
    <row r="729" spans="1:6" x14ac:dyDescent="0.2">
      <c r="A729" s="19" t="s">
        <v>25</v>
      </c>
      <c r="B729" s="19" t="s">
        <v>1371</v>
      </c>
      <c r="C729" s="19">
        <v>11</v>
      </c>
      <c r="D729" s="19">
        <v>2026</v>
      </c>
      <c r="E729" s="19" t="s">
        <v>2601</v>
      </c>
      <c r="F729" s="19">
        <v>1</v>
      </c>
    </row>
    <row r="730" spans="1:6" x14ac:dyDescent="0.2">
      <c r="A730" s="19" t="s">
        <v>22</v>
      </c>
      <c r="B730" s="19" t="s">
        <v>1372</v>
      </c>
      <c r="C730" s="19">
        <v>11</v>
      </c>
      <c r="D730" s="19">
        <v>2026</v>
      </c>
      <c r="E730" s="19" t="s">
        <v>2602</v>
      </c>
      <c r="F730" s="19">
        <v>2</v>
      </c>
    </row>
    <row r="731" spans="1:6" x14ac:dyDescent="0.2">
      <c r="A731" s="19" t="s">
        <v>32</v>
      </c>
      <c r="B731" s="19" t="s">
        <v>1373</v>
      </c>
      <c r="C731" s="19">
        <v>11</v>
      </c>
      <c r="D731" s="19">
        <v>2026</v>
      </c>
      <c r="E731" s="19" t="s">
        <v>2603</v>
      </c>
      <c r="F731" s="19">
        <v>2</v>
      </c>
    </row>
    <row r="732" spans="1:6" x14ac:dyDescent="0.2">
      <c r="A732" s="19" t="s">
        <v>34</v>
      </c>
      <c r="B732" s="19" t="s">
        <v>1374</v>
      </c>
      <c r="C732" s="19">
        <v>11</v>
      </c>
      <c r="D732" s="19">
        <v>2026</v>
      </c>
      <c r="E732" s="19" t="s">
        <v>2604</v>
      </c>
      <c r="F732" s="19">
        <v>1</v>
      </c>
    </row>
    <row r="733" spans="1:6" x14ac:dyDescent="0.2">
      <c r="A733" s="19" t="s">
        <v>26</v>
      </c>
      <c r="B733" s="19" t="s">
        <v>1375</v>
      </c>
      <c r="C733" s="19">
        <v>11</v>
      </c>
      <c r="D733" s="19">
        <v>2026</v>
      </c>
      <c r="E733" s="19" t="s">
        <v>2605</v>
      </c>
      <c r="F733" s="19">
        <v>1</v>
      </c>
    </row>
    <row r="734" spans="1:6" x14ac:dyDescent="0.2">
      <c r="A734" s="19" t="s">
        <v>27</v>
      </c>
      <c r="B734" s="19" t="s">
        <v>1376</v>
      </c>
      <c r="C734" s="19">
        <v>11</v>
      </c>
      <c r="D734" s="19">
        <v>2026</v>
      </c>
      <c r="E734" s="19" t="s">
        <v>2606</v>
      </c>
    </row>
    <row r="735" spans="1:6" x14ac:dyDescent="0.2">
      <c r="A735" s="19" t="s">
        <v>31</v>
      </c>
      <c r="B735" s="19" t="s">
        <v>1358</v>
      </c>
      <c r="C735" s="19">
        <v>11</v>
      </c>
      <c r="D735" s="19">
        <v>2026</v>
      </c>
      <c r="E735" s="19" t="s">
        <v>2607</v>
      </c>
    </row>
    <row r="736" spans="1:6" x14ac:dyDescent="0.2">
      <c r="A736" s="19" t="s">
        <v>33</v>
      </c>
      <c r="B736" s="19" t="s">
        <v>1377</v>
      </c>
      <c r="C736" s="19">
        <v>11</v>
      </c>
      <c r="D736" s="19">
        <v>2026</v>
      </c>
      <c r="E736" s="19" t="s">
        <v>2608</v>
      </c>
    </row>
    <row r="737" spans="1:6" x14ac:dyDescent="0.2">
      <c r="A737" s="19" t="s">
        <v>6</v>
      </c>
      <c r="B737" s="19" t="s">
        <v>1357</v>
      </c>
      <c r="C737" s="19">
        <v>12</v>
      </c>
      <c r="D737" s="19">
        <v>2026</v>
      </c>
      <c r="E737" s="19" t="s">
        <v>2609</v>
      </c>
      <c r="F737" s="19">
        <v>1</v>
      </c>
    </row>
    <row r="738" spans="1:6" x14ac:dyDescent="0.2">
      <c r="A738" s="19" t="s">
        <v>23</v>
      </c>
      <c r="B738" s="19" t="s">
        <v>1359</v>
      </c>
      <c r="C738" s="19">
        <v>12</v>
      </c>
      <c r="D738" s="19">
        <v>2026</v>
      </c>
      <c r="E738" s="19" t="s">
        <v>2610</v>
      </c>
      <c r="F738" s="19">
        <v>3</v>
      </c>
    </row>
    <row r="739" spans="1:6" x14ac:dyDescent="0.2">
      <c r="A739" s="19" t="s">
        <v>21</v>
      </c>
      <c r="B739" s="19" t="s">
        <v>1360</v>
      </c>
      <c r="C739" s="19">
        <v>12</v>
      </c>
      <c r="D739" s="19">
        <v>2026</v>
      </c>
      <c r="E739" s="19" t="s">
        <v>2611</v>
      </c>
      <c r="F739" s="19">
        <v>1</v>
      </c>
    </row>
    <row r="740" spans="1:6" x14ac:dyDescent="0.2">
      <c r="A740" s="19" t="s">
        <v>1</v>
      </c>
      <c r="B740" s="19" t="s">
        <v>1361</v>
      </c>
      <c r="C740" s="19">
        <v>12</v>
      </c>
      <c r="D740" s="19">
        <v>2026</v>
      </c>
      <c r="E740" s="19" t="s">
        <v>2612</v>
      </c>
      <c r="F740" s="19">
        <v>1</v>
      </c>
    </row>
    <row r="741" spans="1:6" x14ac:dyDescent="0.2">
      <c r="A741" s="19" t="s">
        <v>24</v>
      </c>
      <c r="B741" s="19" t="s">
        <v>1362</v>
      </c>
      <c r="C741" s="19">
        <v>12</v>
      </c>
      <c r="D741" s="19">
        <v>2026</v>
      </c>
      <c r="E741" s="19" t="s">
        <v>2613</v>
      </c>
    </row>
    <row r="742" spans="1:6" x14ac:dyDescent="0.2">
      <c r="A742" s="19" t="s">
        <v>29</v>
      </c>
      <c r="B742" s="19" t="s">
        <v>1363</v>
      </c>
      <c r="C742" s="19">
        <v>12</v>
      </c>
      <c r="D742" s="19">
        <v>2026</v>
      </c>
      <c r="E742" s="19" t="s">
        <v>2614</v>
      </c>
      <c r="F742" s="19">
        <v>1</v>
      </c>
    </row>
    <row r="743" spans="1:6" x14ac:dyDescent="0.2">
      <c r="A743" s="19" t="s">
        <v>14</v>
      </c>
      <c r="B743" s="19" t="s">
        <v>1364</v>
      </c>
      <c r="C743" s="19">
        <v>12</v>
      </c>
      <c r="D743" s="19">
        <v>2026</v>
      </c>
      <c r="E743" s="19" t="s">
        <v>2615</v>
      </c>
      <c r="F743" s="19">
        <v>1</v>
      </c>
    </row>
    <row r="744" spans="1:6" x14ac:dyDescent="0.2">
      <c r="A744" s="19" t="s">
        <v>28</v>
      </c>
      <c r="B744" s="19" t="s">
        <v>1365</v>
      </c>
      <c r="C744" s="19">
        <v>12</v>
      </c>
      <c r="D744" s="19">
        <v>2026</v>
      </c>
      <c r="E744" s="19" t="s">
        <v>2616</v>
      </c>
      <c r="F744" s="19">
        <v>1</v>
      </c>
    </row>
    <row r="745" spans="1:6" x14ac:dyDescent="0.2">
      <c r="A745" s="19" t="s">
        <v>18</v>
      </c>
      <c r="B745" s="19" t="s">
        <v>1366</v>
      </c>
      <c r="C745" s="19">
        <v>12</v>
      </c>
      <c r="D745" s="19">
        <v>2026</v>
      </c>
      <c r="E745" s="19" t="s">
        <v>2617</v>
      </c>
      <c r="F745" s="19">
        <v>1</v>
      </c>
    </row>
    <row r="746" spans="1:6" x14ac:dyDescent="0.2">
      <c r="A746" s="19" t="s">
        <v>11</v>
      </c>
      <c r="B746" s="19" t="s">
        <v>1367</v>
      </c>
      <c r="C746" s="19">
        <v>12</v>
      </c>
      <c r="D746" s="19">
        <v>2026</v>
      </c>
      <c r="E746" s="19" t="s">
        <v>2618</v>
      </c>
    </row>
    <row r="747" spans="1:6" x14ac:dyDescent="0.2">
      <c r="A747" s="19" t="s">
        <v>30</v>
      </c>
      <c r="B747" s="19" t="s">
        <v>1368</v>
      </c>
      <c r="C747" s="19">
        <v>12</v>
      </c>
      <c r="D747" s="19">
        <v>2026</v>
      </c>
      <c r="E747" s="19" t="s">
        <v>2619</v>
      </c>
    </row>
    <row r="748" spans="1:6" x14ac:dyDescent="0.2">
      <c r="A748" s="19" t="s">
        <v>16</v>
      </c>
      <c r="B748" s="19" t="s">
        <v>1369</v>
      </c>
      <c r="C748" s="19">
        <v>12</v>
      </c>
      <c r="D748" s="19">
        <v>2026</v>
      </c>
      <c r="E748" s="19" t="s">
        <v>2620</v>
      </c>
      <c r="F748" s="19">
        <v>1</v>
      </c>
    </row>
    <row r="749" spans="1:6" x14ac:dyDescent="0.2">
      <c r="A749" s="19" t="s">
        <v>20</v>
      </c>
      <c r="B749" s="19" t="s">
        <v>1370</v>
      </c>
      <c r="C749" s="19">
        <v>12</v>
      </c>
      <c r="D749" s="19">
        <v>2026</v>
      </c>
      <c r="E749" s="19" t="s">
        <v>2621</v>
      </c>
      <c r="F749" s="19">
        <v>1</v>
      </c>
    </row>
    <row r="750" spans="1:6" x14ac:dyDescent="0.2">
      <c r="A750" s="19" t="s">
        <v>25</v>
      </c>
      <c r="B750" s="19" t="s">
        <v>1371</v>
      </c>
      <c r="C750" s="19">
        <v>12</v>
      </c>
      <c r="D750" s="19">
        <v>2026</v>
      </c>
      <c r="E750" s="19" t="s">
        <v>2622</v>
      </c>
    </row>
    <row r="751" spans="1:6" x14ac:dyDescent="0.2">
      <c r="A751" s="19" t="s">
        <v>22</v>
      </c>
      <c r="B751" s="19" t="s">
        <v>1372</v>
      </c>
      <c r="C751" s="19">
        <v>12</v>
      </c>
      <c r="D751" s="19">
        <v>2026</v>
      </c>
      <c r="E751" s="19" t="s">
        <v>2623</v>
      </c>
    </row>
    <row r="752" spans="1:6" x14ac:dyDescent="0.2">
      <c r="A752" s="19" t="s">
        <v>32</v>
      </c>
      <c r="B752" s="19" t="s">
        <v>1373</v>
      </c>
      <c r="C752" s="19">
        <v>12</v>
      </c>
      <c r="D752" s="19">
        <v>2026</v>
      </c>
      <c r="E752" s="19" t="s">
        <v>2624</v>
      </c>
    </row>
    <row r="753" spans="1:6" x14ac:dyDescent="0.2">
      <c r="A753" s="19" t="s">
        <v>34</v>
      </c>
      <c r="B753" s="19" t="s">
        <v>1374</v>
      </c>
      <c r="C753" s="19">
        <v>12</v>
      </c>
      <c r="D753" s="19">
        <v>2026</v>
      </c>
      <c r="E753" s="19" t="s">
        <v>2625</v>
      </c>
      <c r="F753" s="19">
        <v>1</v>
      </c>
    </row>
    <row r="754" spans="1:6" x14ac:dyDescent="0.2">
      <c r="A754" s="19" t="s">
        <v>26</v>
      </c>
      <c r="B754" s="19" t="s">
        <v>1375</v>
      </c>
      <c r="C754" s="19">
        <v>12</v>
      </c>
      <c r="D754" s="19">
        <v>2026</v>
      </c>
      <c r="E754" s="19" t="s">
        <v>2626</v>
      </c>
      <c r="F754" s="19">
        <v>2</v>
      </c>
    </row>
    <row r="755" spans="1:6" x14ac:dyDescent="0.2">
      <c r="A755" s="19" t="s">
        <v>27</v>
      </c>
      <c r="B755" s="19" t="s">
        <v>1376</v>
      </c>
      <c r="C755" s="19">
        <v>12</v>
      </c>
      <c r="D755" s="19">
        <v>2026</v>
      </c>
      <c r="E755" s="19" t="s">
        <v>2627</v>
      </c>
      <c r="F755" s="19">
        <v>1</v>
      </c>
    </row>
    <row r="756" spans="1:6" x14ac:dyDescent="0.2">
      <c r="A756" s="19" t="s">
        <v>31</v>
      </c>
      <c r="B756" s="19" t="s">
        <v>1358</v>
      </c>
      <c r="C756" s="19">
        <v>12</v>
      </c>
      <c r="D756" s="19">
        <v>2026</v>
      </c>
      <c r="E756" s="19" t="s">
        <v>2628</v>
      </c>
    </row>
    <row r="757" spans="1:6" x14ac:dyDescent="0.2">
      <c r="A757" s="19" t="s">
        <v>33</v>
      </c>
      <c r="B757" s="19" t="s">
        <v>1377</v>
      </c>
      <c r="C757" s="19">
        <v>12</v>
      </c>
      <c r="D757" s="19">
        <v>2026</v>
      </c>
      <c r="E757" s="19" t="s">
        <v>2629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Contract data</vt:lpstr>
      <vt:lpstr>Appendix data</vt:lpstr>
      <vt:lpstr>Customer</vt:lpstr>
      <vt:lpstr>shipping inf</vt:lpstr>
      <vt:lpstr>Product inf</vt:lpstr>
      <vt:lpstr>Saleman inf</vt:lpstr>
      <vt:lpstr>Saleman_KPI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2026-03-26T08:11:26Z</dcterms:created>
  <dcterms:modified xsi:type="dcterms:W3CDTF">2026-03-27T09:06:01Z</dcterms:modified>
</cp:coreProperties>
</file>